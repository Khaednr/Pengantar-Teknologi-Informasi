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Khaedir\Politeknik Piksi Ganesha\Semester 1\Pengantar Teknologi Informasi\Tugas\"/>
    </mc:Choice>
  </mc:AlternateContent>
  <xr:revisionPtr revIDLastSave="0" documentId="13_ncr:1_{1F946BA4-D86B-4ED2-AA1F-5E70D89F8ED6}" xr6:coauthVersionLast="47" xr6:coauthVersionMax="47" xr10:uidLastSave="{00000000-0000-0000-0000-000000000000}"/>
  <bookViews>
    <workbookView xWindow="-105" yWindow="0" windowWidth="34605" windowHeight="20985" activeTab="2" xr2:uid="{057B489C-6E96-4B8B-A6CB-760A40048F63}"/>
  </bookViews>
  <sheets>
    <sheet name="DATA_KUNJUNGAN" sheetId="1" r:id="rId1"/>
    <sheet name="PIVOT_ANALISIS" sheetId="2" r:id="rId2"/>
    <sheet name="DASHBOARD" sheetId="3" r:id="rId3"/>
  </sheets>
  <definedNames>
    <definedName name="_xlnm.Print_Area" localSheetId="2">DASHBOARD!$B$2:$R$48</definedName>
    <definedName name="Slicer_Bulan">#N/A</definedName>
    <definedName name="Slicer_Jenis_Pembayaran">#N/A</definedName>
    <definedName name="Slicer_Poli_Tujua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3" l="1"/>
  <c r="F7" i="3"/>
  <c r="K7" i="3"/>
  <c r="B7" i="3"/>
  <c r="L4" i="1"/>
  <c r="L2" i="1"/>
  <c r="L3" i="1"/>
  <c r="L1" i="1"/>
</calcChain>
</file>

<file path=xl/sharedStrings.xml><?xml version="1.0" encoding="utf-8"?>
<sst xmlns="http://schemas.openxmlformats.org/spreadsheetml/2006/main" count="1327" uniqueCount="223">
  <si>
    <t>ID Kunjungan</t>
  </si>
  <si>
    <t>Tanggal Kunjungan</t>
  </si>
  <si>
    <t>Bulan</t>
  </si>
  <si>
    <t>Poli Tujuan</t>
  </si>
  <si>
    <t>Jenis Kelamin</t>
  </si>
  <si>
    <t>Kelompok Usia</t>
  </si>
  <si>
    <t>Jenis Pembayaran</t>
  </si>
  <si>
    <t>Status Kunjungan</t>
  </si>
  <si>
    <t>Biaya Pelayanan</t>
  </si>
  <si>
    <t>KJ-0001</t>
  </si>
  <si>
    <t>Juli</t>
  </si>
  <si>
    <t>Poli Gigi</t>
  </si>
  <si>
    <t>Laki-laki</t>
  </si>
  <si>
    <t>Anak</t>
  </si>
  <si>
    <t>Umum</t>
  </si>
  <si>
    <t>Selesai</t>
  </si>
  <si>
    <t>KJ-0002</t>
  </si>
  <si>
    <t>Poli Umum</t>
  </si>
  <si>
    <t>Perempuan</t>
  </si>
  <si>
    <t>Remaja</t>
  </si>
  <si>
    <t>BPJS</t>
  </si>
  <si>
    <t>KJ-0003</t>
  </si>
  <si>
    <t>Poli KIA</t>
  </si>
  <si>
    <t>Dewasa</t>
  </si>
  <si>
    <t>KJ-0004</t>
  </si>
  <si>
    <t>Lansia</t>
  </si>
  <si>
    <t>KJ-0005</t>
  </si>
  <si>
    <t>KJ-0006</t>
  </si>
  <si>
    <t>KJ-0007</t>
  </si>
  <si>
    <t>KJ-0008</t>
  </si>
  <si>
    <t>KJ-0009</t>
  </si>
  <si>
    <t>KJ-0010</t>
  </si>
  <si>
    <t>KJ-0011</t>
  </si>
  <si>
    <t>KJ-0012</t>
  </si>
  <si>
    <t>KJ-0013</t>
  </si>
  <si>
    <t>KJ-0014</t>
  </si>
  <si>
    <t>KJ-0015</t>
  </si>
  <si>
    <t>KJ-0016</t>
  </si>
  <si>
    <t>KJ-0017</t>
  </si>
  <si>
    <t>KJ-0018</t>
  </si>
  <si>
    <t>KJ-0019</t>
  </si>
  <si>
    <t>KJ-0020</t>
  </si>
  <si>
    <t>KJ-0021</t>
  </si>
  <si>
    <t>KJ-0022</t>
  </si>
  <si>
    <t>KJ-0023</t>
  </si>
  <si>
    <t>KJ-0024</t>
  </si>
  <si>
    <t>KJ-0025</t>
  </si>
  <si>
    <t>KJ-0026</t>
  </si>
  <si>
    <t>KJ-0027</t>
  </si>
  <si>
    <t>KJ-0028</t>
  </si>
  <si>
    <t>KJ-0029</t>
  </si>
  <si>
    <t>KJ-0030</t>
  </si>
  <si>
    <t>KJ-0031</t>
  </si>
  <si>
    <t>KJ-0032</t>
  </si>
  <si>
    <t>KJ-0033</t>
  </si>
  <si>
    <t>KJ-0034</t>
  </si>
  <si>
    <t>KJ-0035</t>
  </si>
  <si>
    <t>KJ-0036</t>
  </si>
  <si>
    <t>KJ-0037</t>
  </si>
  <si>
    <t>KJ-0038</t>
  </si>
  <si>
    <t>Batal</t>
  </si>
  <si>
    <t>KJ-0039</t>
  </si>
  <si>
    <t>KJ-0040</t>
  </si>
  <si>
    <t>KJ-0041</t>
  </si>
  <si>
    <t>KJ-0042</t>
  </si>
  <si>
    <t>KJ-0043</t>
  </si>
  <si>
    <t>KJ-0044</t>
  </si>
  <si>
    <t>KJ-0045</t>
  </si>
  <si>
    <t>KJ-0046</t>
  </si>
  <si>
    <t>KJ-0047</t>
  </si>
  <si>
    <t>KJ-0048</t>
  </si>
  <si>
    <t>KJ-0049</t>
  </si>
  <si>
    <t>KJ-0050</t>
  </si>
  <si>
    <t>KJ-0051</t>
  </si>
  <si>
    <t>KJ-0052</t>
  </si>
  <si>
    <t>KJ-0053</t>
  </si>
  <si>
    <t>KJ-0054</t>
  </si>
  <si>
    <t>KJ-0055</t>
  </si>
  <si>
    <t>KJ-0056</t>
  </si>
  <si>
    <t>Agustus</t>
  </si>
  <si>
    <t>KJ-0057</t>
  </si>
  <si>
    <t>KJ-0058</t>
  </si>
  <si>
    <t>KJ-0059</t>
  </si>
  <si>
    <t>KJ-0060</t>
  </si>
  <si>
    <t>KJ-0061</t>
  </si>
  <si>
    <t>KJ-0062</t>
  </si>
  <si>
    <t>KJ-0063</t>
  </si>
  <si>
    <t>KJ-0064</t>
  </si>
  <si>
    <t>KJ-0065</t>
  </si>
  <si>
    <t>KJ-0066</t>
  </si>
  <si>
    <t>KJ-0067</t>
  </si>
  <si>
    <t>KJ-0068</t>
  </si>
  <si>
    <t>KJ-0069</t>
  </si>
  <si>
    <t>KJ-0070</t>
  </si>
  <si>
    <t>KJ-0071</t>
  </si>
  <si>
    <t>KJ-0072</t>
  </si>
  <si>
    <t>KJ-0073</t>
  </si>
  <si>
    <t>KJ-0074</t>
  </si>
  <si>
    <t>KJ-0075</t>
  </si>
  <si>
    <t>KJ-0076</t>
  </si>
  <si>
    <t>KJ-0077</t>
  </si>
  <si>
    <t>KJ-0078</t>
  </si>
  <si>
    <t>KJ-0079</t>
  </si>
  <si>
    <t>KJ-0080</t>
  </si>
  <si>
    <t>KJ-0081</t>
  </si>
  <si>
    <t>KJ-0082</t>
  </si>
  <si>
    <t>KJ-0083</t>
  </si>
  <si>
    <t>KJ-0084</t>
  </si>
  <si>
    <t>KJ-0085</t>
  </si>
  <si>
    <t>KJ-0086</t>
  </si>
  <si>
    <t>KJ-0087</t>
  </si>
  <si>
    <t>KJ-0088</t>
  </si>
  <si>
    <t>KJ-0089</t>
  </si>
  <si>
    <t>KJ-0090</t>
  </si>
  <si>
    <t>KJ-0091</t>
  </si>
  <si>
    <t>KJ-0092</t>
  </si>
  <si>
    <t>KJ-0093</t>
  </si>
  <si>
    <t>KJ-0094</t>
  </si>
  <si>
    <t>KJ-0095</t>
  </si>
  <si>
    <t>KJ-0096</t>
  </si>
  <si>
    <t>KJ-0097</t>
  </si>
  <si>
    <t>KJ-0098</t>
  </si>
  <si>
    <t>KJ-0099</t>
  </si>
  <si>
    <t>KJ-0100</t>
  </si>
  <si>
    <t>KJ-0101</t>
  </si>
  <si>
    <t>KJ-0102</t>
  </si>
  <si>
    <t>KJ-0103</t>
  </si>
  <si>
    <t>KJ-0104</t>
  </si>
  <si>
    <t>KJ-0105</t>
  </si>
  <si>
    <t>KJ-0106</t>
  </si>
  <si>
    <t>KJ-0107</t>
  </si>
  <si>
    <t>KJ-0108</t>
  </si>
  <si>
    <t>KJ-0109</t>
  </si>
  <si>
    <t>KJ-0110</t>
  </si>
  <si>
    <t>KJ-0111</t>
  </si>
  <si>
    <t>KJ-0112</t>
  </si>
  <si>
    <t>KJ-0113</t>
  </si>
  <si>
    <t>KJ-0114</t>
  </si>
  <si>
    <t>KJ-0115</t>
  </si>
  <si>
    <t>KJ-0116</t>
  </si>
  <si>
    <t>September</t>
  </si>
  <si>
    <t>KJ-0117</t>
  </si>
  <si>
    <t>KJ-0118</t>
  </si>
  <si>
    <t>KJ-0119</t>
  </si>
  <si>
    <t>KJ-0120</t>
  </si>
  <si>
    <t>KJ-0121</t>
  </si>
  <si>
    <t>KJ-0122</t>
  </si>
  <si>
    <t>KJ-0123</t>
  </si>
  <si>
    <t>KJ-0124</t>
  </si>
  <si>
    <t>KJ-0125</t>
  </si>
  <si>
    <t>KJ-0126</t>
  </si>
  <si>
    <t>KJ-0127</t>
  </si>
  <si>
    <t>KJ-0128</t>
  </si>
  <si>
    <t>KJ-0129</t>
  </si>
  <si>
    <t>KJ-0130</t>
  </si>
  <si>
    <t>KJ-0131</t>
  </si>
  <si>
    <t>KJ-0132</t>
  </si>
  <si>
    <t>KJ-0133</t>
  </si>
  <si>
    <t>KJ-0134</t>
  </si>
  <si>
    <t>KJ-0135</t>
  </si>
  <si>
    <t>KJ-0136</t>
  </si>
  <si>
    <t>KJ-0137</t>
  </si>
  <si>
    <t>KJ-0138</t>
  </si>
  <si>
    <t>KJ-0139</t>
  </si>
  <si>
    <t>KJ-0140</t>
  </si>
  <si>
    <t>KJ-0141</t>
  </si>
  <si>
    <t>KJ-0142</t>
  </si>
  <si>
    <t>KJ-0143</t>
  </si>
  <si>
    <t>KJ-0144</t>
  </si>
  <si>
    <t>KJ-0145</t>
  </si>
  <si>
    <t>KJ-0146</t>
  </si>
  <si>
    <t>KJ-0147</t>
  </si>
  <si>
    <t>KJ-0148</t>
  </si>
  <si>
    <t>KJ-0149</t>
  </si>
  <si>
    <t>KJ-0150</t>
  </si>
  <si>
    <t>KJ-0151</t>
  </si>
  <si>
    <t>KJ-0152</t>
  </si>
  <si>
    <t>KJ-0153</t>
  </si>
  <si>
    <t>KJ-0154</t>
  </si>
  <si>
    <t>KJ-0155</t>
  </si>
  <si>
    <t>KJ-0156</t>
  </si>
  <si>
    <t>KJ-0157</t>
  </si>
  <si>
    <t>KJ-0158</t>
  </si>
  <si>
    <t>KJ-0159</t>
  </si>
  <si>
    <t>KJ-0160</t>
  </si>
  <si>
    <t>KJ-0161</t>
  </si>
  <si>
    <t>KJ-0162</t>
  </si>
  <si>
    <t>KJ-0163</t>
  </si>
  <si>
    <t>KJ-0164</t>
  </si>
  <si>
    <t>KJ-0165</t>
  </si>
  <si>
    <t>KJ-0166</t>
  </si>
  <si>
    <t>KJ-0167</t>
  </si>
  <si>
    <t>KJ-0168</t>
  </si>
  <si>
    <t>KJ-0169</t>
  </si>
  <si>
    <t>KJ-0170</t>
  </si>
  <si>
    <t>KJ-0171</t>
  </si>
  <si>
    <t>KJ-0172</t>
  </si>
  <si>
    <t>KJ-0173</t>
  </si>
  <si>
    <t>KJ-0174</t>
  </si>
  <si>
    <t>KJ-0175</t>
  </si>
  <si>
    <t>KJ-0176</t>
  </si>
  <si>
    <t>KJ-0177</t>
  </si>
  <si>
    <t>KJ-0178</t>
  </si>
  <si>
    <t>KJ-0179</t>
  </si>
  <si>
    <t>KJ-0180</t>
  </si>
  <si>
    <t>Grand Total</t>
  </si>
  <si>
    <t>Jumlah Kunjungan</t>
  </si>
  <si>
    <t/>
  </si>
  <si>
    <t>Total Kunjungan</t>
  </si>
  <si>
    <t>(All)</t>
  </si>
  <si>
    <t>Cari Poli Tujuan</t>
  </si>
  <si>
    <t>Total Nilai Pelayanan</t>
  </si>
  <si>
    <t>Kontribusi (%)</t>
  </si>
  <si>
    <t>PIKSI GANESHA CLINIC</t>
  </si>
  <si>
    <t>Dashboard Analisis Kunjungan Pasien Rawat Jalan | Juli - September 2026 | Data Simulasi</t>
  </si>
  <si>
    <t>TOTAL KUNJUNGAN</t>
  </si>
  <si>
    <t>KUNJUNGAN SELESAI</t>
  </si>
  <si>
    <t>KUNJUNGAN BATAL</t>
  </si>
  <si>
    <t>TOTAL NILAI PELAYANAN</t>
  </si>
  <si>
    <t>Row Labels</t>
  </si>
  <si>
    <t>Jumlah Kunjungan KPI</t>
  </si>
  <si>
    <t>Nilai Pelayanan KPI</t>
  </si>
  <si>
    <t>Sumber : Data Dummy Piksi Ganesha Clinic | Keperluan Pembelajaran | Bukan Data Pasien Aktual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</si>
</sst>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quot;Rp&quot;\ #,##0"/>
    <numFmt numFmtId="166" formatCode="[$Rp-421]#,##0"/>
  </numFmts>
  <fonts count="6" x14ac:knownFonts="1">
    <font>
      <sz val="11"/>
      <color theme="1"/>
      <name val="Aptos Narrow"/>
      <family val="2"/>
      <scheme val="minor"/>
    </font>
    <font>
      <sz val="11"/>
      <color theme="0"/>
      <name val="Aptos Narrow"/>
      <family val="2"/>
      <scheme val="minor"/>
    </font>
    <font>
      <b/>
      <sz val="22"/>
      <color theme="0"/>
      <name val="Aptos Display"/>
      <family val="2"/>
      <scheme val="major"/>
    </font>
    <font>
      <b/>
      <sz val="10"/>
      <color theme="3" tint="9.9978637043366805E-2"/>
      <name val="Aptos Display"/>
      <family val="2"/>
      <scheme val="major"/>
    </font>
    <font>
      <sz val="22"/>
      <color theme="3" tint="9.9978637043366805E-2"/>
      <name val="Aptos Display"/>
      <family val="2"/>
      <scheme val="major"/>
    </font>
    <font>
      <sz val="9"/>
      <color theme="1"/>
      <name val="Aptos Display"/>
      <family val="2"/>
      <scheme val="major"/>
    </font>
  </fonts>
  <fills count="6">
    <fill>
      <patternFill patternType="none"/>
    </fill>
    <fill>
      <patternFill patternType="gray125"/>
    </fill>
    <fill>
      <patternFill patternType="solid">
        <fgColor theme="3" tint="0.249977111117893"/>
        <bgColor indexed="64"/>
      </patternFill>
    </fill>
    <fill>
      <patternFill patternType="solid">
        <fgColor rgb="FFF3F7FB"/>
        <bgColor indexed="64"/>
      </patternFill>
    </fill>
    <fill>
      <patternFill patternType="solid">
        <fgColor rgb="FF143A5B"/>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0" pivotButton="1" applyAlignment="1">
      <alignment horizontal="center" vertical="center"/>
    </xf>
    <xf numFmtId="10" fontId="0" fillId="0" borderId="0" xfId="0" applyNumberFormat="1"/>
    <xf numFmtId="0" fontId="0" fillId="3" borderId="0" xfId="0" applyFill="1"/>
    <xf numFmtId="0" fontId="3" fillId="5" borderId="0" xfId="0" applyFont="1" applyFill="1" applyAlignment="1">
      <alignment horizontal="center" vertical="center"/>
    </xf>
    <xf numFmtId="166" fontId="4" fillId="5" borderId="0" xfId="0" applyNumberFormat="1" applyFont="1" applyFill="1" applyAlignment="1">
      <alignment horizontal="center" vertical="center"/>
    </xf>
    <xf numFmtId="0" fontId="5" fillId="3" borderId="0" xfId="0" applyFont="1" applyFill="1" applyAlignment="1">
      <alignment horizontal="center" vertical="center"/>
    </xf>
    <xf numFmtId="0" fontId="2" fillId="4" borderId="0" xfId="0" applyFont="1" applyFill="1" applyAlignment="1">
      <alignment horizontal="center" vertical="center"/>
    </xf>
    <xf numFmtId="0" fontId="1" fillId="4" borderId="0" xfId="0" applyFont="1" applyFill="1" applyAlignment="1">
      <alignment horizontal="center" vertical="center"/>
    </xf>
    <xf numFmtId="0" fontId="4" fillId="5" borderId="0" xfId="0" applyFont="1" applyFill="1" applyAlignment="1">
      <alignment horizontal="center" vertical="center"/>
    </xf>
  </cellXfs>
  <cellStyles count="1">
    <cellStyle name="Normal" xfId="0" builtinId="0"/>
  </cellStyles>
  <dxfs count="15">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vertical="center"/>
    </dxf>
    <dxf>
      <numFmt numFmtId="165" formatCode="&quot;Rp&quot;\ #,##0"/>
    </dxf>
    <dxf>
      <numFmt numFmtId="164" formatCode="dd/mm/yyyy"/>
    </dxf>
    <dxf>
      <font>
        <b val="0"/>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dxf>
  </dxfs>
  <tableStyles count="0" defaultTableStyle="TableStyleMedium2" defaultPivotStyle="PivotStyleLight16"/>
  <colors>
    <mruColors>
      <color rgb="FF143A5B"/>
      <color rgb="FFF3F7FB"/>
      <color rgb="FF287A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PivotTable - Piksi Ganesha Clinic.xlsx]PIVOT_ANALISIS!ptKunjunganPoli</c:name>
    <c:fmtId val="5"/>
  </c:pivotSource>
  <c:chart>
    <c:title>
      <c:tx>
        <c:rich>
          <a:bodyPr rot="0" spcFirstLastPara="1" vertOverflow="ellipsis" vert="horz" wrap="square" anchor="ctr" anchorCtr="1"/>
          <a:lstStyle/>
          <a:p>
            <a:pPr>
              <a:defRPr sz="1680" b="1" i="0" u="none" strike="noStrike" kern="1200" spc="0" baseline="0">
                <a:solidFill>
                  <a:schemeClr val="tx2">
                    <a:lumMod val="90000"/>
                    <a:lumOff val="10000"/>
                  </a:schemeClr>
                </a:solidFill>
                <a:latin typeface="+mn-lt"/>
                <a:ea typeface="+mn-ea"/>
                <a:cs typeface="+mn-cs"/>
              </a:defRPr>
            </a:pPr>
            <a:r>
              <a:rPr lang="en-US">
                <a:solidFill>
                  <a:schemeClr val="tx2">
                    <a:lumMod val="90000"/>
                    <a:lumOff val="10000"/>
                  </a:schemeClr>
                </a:solidFill>
              </a:rPr>
              <a:t>Jumlah Kunjungan Pasien Berdasarkan Poli</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rgbClr val="287AB6"/>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87AB6"/>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PIVOT_ANALISIS!$B$3</c:f>
              <c:strCache>
                <c:ptCount val="1"/>
                <c:pt idx="0">
                  <c:v>Total</c:v>
                </c:pt>
              </c:strCache>
            </c:strRef>
          </c:tx>
          <c:spPr>
            <a:solidFill>
              <a:srgbClr val="287AB6"/>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PIVOT_ANALISIS!$A$4:$A$7</c:f>
              <c:strCache>
                <c:ptCount val="3"/>
                <c:pt idx="0">
                  <c:v>Poli Umum</c:v>
                </c:pt>
                <c:pt idx="1">
                  <c:v>Poli Gigi</c:v>
                </c:pt>
                <c:pt idx="2">
                  <c:v>Poli KIA</c:v>
                </c:pt>
              </c:strCache>
            </c:strRef>
          </c:cat>
          <c:val>
            <c:numRef>
              <c:f>PIVOT_ANALISIS!$B$4:$B$7</c:f>
              <c:numCache>
                <c:formatCode>General</c:formatCode>
                <c:ptCount val="3"/>
                <c:pt idx="0">
                  <c:v>89</c:v>
                </c:pt>
                <c:pt idx="1">
                  <c:v>48</c:v>
                </c:pt>
                <c:pt idx="2">
                  <c:v>43</c:v>
                </c:pt>
              </c:numCache>
            </c:numRef>
          </c:val>
          <c:extLst>
            <c:ext xmlns:c16="http://schemas.microsoft.com/office/drawing/2014/chart" uri="{C3380CC4-5D6E-409C-BE32-E72D297353CC}">
              <c16:uniqueId val="{00000000-B65D-4C40-88D2-00CDB3648DBC}"/>
            </c:ext>
          </c:extLst>
        </c:ser>
        <c:dLbls>
          <c:dLblPos val="outEnd"/>
          <c:showLegendKey val="0"/>
          <c:showVal val="1"/>
          <c:showCatName val="0"/>
          <c:showSerName val="0"/>
          <c:showPercent val="0"/>
          <c:showBubbleSize val="0"/>
        </c:dLbls>
        <c:gapWidth val="219"/>
        <c:overlap val="-27"/>
        <c:axId val="816130207"/>
        <c:axId val="816123487"/>
      </c:barChart>
      <c:catAx>
        <c:axId val="81613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16123487"/>
        <c:crosses val="autoZero"/>
        <c:auto val="1"/>
        <c:lblAlgn val="ctr"/>
        <c:lblOffset val="100"/>
        <c:noMultiLvlLbl val="0"/>
      </c:catAx>
      <c:valAx>
        <c:axId val="816123487"/>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1613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PivotTable - Piksi Ganesha Clinic.xlsx]PIVOT_ANALISIS!ptTrenBulanan</c:name>
    <c:fmtId val="2"/>
  </c:pivotSource>
  <c:chart>
    <c:title>
      <c:tx>
        <c:rich>
          <a:bodyPr rot="0" spcFirstLastPara="1" vertOverflow="ellipsis" vert="horz" wrap="square" anchor="ctr" anchorCtr="1"/>
          <a:lstStyle/>
          <a:p>
            <a:pPr>
              <a:defRPr sz="1600" b="1" i="0" u="none" strike="noStrike" kern="1200" spc="0" baseline="0">
                <a:solidFill>
                  <a:schemeClr val="tx2">
                    <a:lumMod val="90000"/>
                    <a:lumOff val="10000"/>
                  </a:schemeClr>
                </a:solidFill>
                <a:latin typeface="+mn-lt"/>
                <a:ea typeface="+mn-ea"/>
                <a:cs typeface="+mn-cs"/>
              </a:defRPr>
            </a:pPr>
            <a:r>
              <a:rPr lang="en-US" sz="1600">
                <a:solidFill>
                  <a:schemeClr val="tx2">
                    <a:lumMod val="90000"/>
                    <a:lumOff val="10000"/>
                  </a:schemeClr>
                </a:solidFill>
              </a:rPr>
              <a:t>Tren Kunjungan Pasien per Poli (Juli–September 2026)</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40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1400" b="1" i="0" u="none" strike="noStrike" kern="1200" baseline="0">
                  <a:solidFill>
                    <a:srgbClr val="FFC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14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PIVOT_ANALISIS!$F$3:$F$4</c:f>
              <c:strCache>
                <c:ptCount val="1"/>
                <c:pt idx="0">
                  <c:v>Poli Gigi</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40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PIVOT_ANALISIS!$E$5:$E$8</c:f>
              <c:strCache>
                <c:ptCount val="3"/>
                <c:pt idx="0">
                  <c:v>Juli</c:v>
                </c:pt>
                <c:pt idx="1">
                  <c:v>Agustus</c:v>
                </c:pt>
                <c:pt idx="2">
                  <c:v>September</c:v>
                </c:pt>
              </c:strCache>
            </c:strRef>
          </c:cat>
          <c:val>
            <c:numRef>
              <c:f>PIVOT_ANALISIS!$F$5:$F$8</c:f>
              <c:numCache>
                <c:formatCode>General</c:formatCode>
                <c:ptCount val="3"/>
                <c:pt idx="0">
                  <c:v>20</c:v>
                </c:pt>
                <c:pt idx="1">
                  <c:v>15</c:v>
                </c:pt>
                <c:pt idx="2">
                  <c:v>13</c:v>
                </c:pt>
              </c:numCache>
            </c:numRef>
          </c:val>
          <c:smooth val="0"/>
          <c:extLst>
            <c:ext xmlns:c16="http://schemas.microsoft.com/office/drawing/2014/chart" uri="{C3380CC4-5D6E-409C-BE32-E72D297353CC}">
              <c16:uniqueId val="{00000000-9387-42C5-B676-595031F98EDA}"/>
            </c:ext>
          </c:extLst>
        </c:ser>
        <c:ser>
          <c:idx val="1"/>
          <c:order val="1"/>
          <c:tx>
            <c:strRef>
              <c:f>PIVOT_ANALISIS!$G$3:$G$4</c:f>
              <c:strCache>
                <c:ptCount val="1"/>
                <c:pt idx="0">
                  <c:v>Poli KIA</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1400" b="1" i="0" u="none" strike="noStrike" kern="1200" baseline="0">
                    <a:solidFill>
                      <a:srgbClr val="FFC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PIVOT_ANALISIS!$E$5:$E$8</c:f>
              <c:strCache>
                <c:ptCount val="3"/>
                <c:pt idx="0">
                  <c:v>Juli</c:v>
                </c:pt>
                <c:pt idx="1">
                  <c:v>Agustus</c:v>
                </c:pt>
                <c:pt idx="2">
                  <c:v>September</c:v>
                </c:pt>
              </c:strCache>
            </c:strRef>
          </c:cat>
          <c:val>
            <c:numRef>
              <c:f>PIVOT_ANALISIS!$G$5:$G$8</c:f>
              <c:numCache>
                <c:formatCode>General</c:formatCode>
                <c:ptCount val="3"/>
                <c:pt idx="0">
                  <c:v>9</c:v>
                </c:pt>
                <c:pt idx="1">
                  <c:v>14</c:v>
                </c:pt>
                <c:pt idx="2">
                  <c:v>20</c:v>
                </c:pt>
              </c:numCache>
            </c:numRef>
          </c:val>
          <c:smooth val="0"/>
          <c:extLst>
            <c:ext xmlns:c16="http://schemas.microsoft.com/office/drawing/2014/chart" uri="{C3380CC4-5D6E-409C-BE32-E72D297353CC}">
              <c16:uniqueId val="{00000001-BEE5-419C-9846-DE75164E9BB9}"/>
            </c:ext>
          </c:extLst>
        </c:ser>
        <c:ser>
          <c:idx val="2"/>
          <c:order val="2"/>
          <c:tx>
            <c:strRef>
              <c:f>PIVOT_ANALISIS!$H$3:$H$4</c:f>
              <c:strCache>
                <c:ptCount val="1"/>
                <c:pt idx="0">
                  <c:v>Poli Umum</c:v>
                </c:pt>
              </c:strCache>
            </c:strRef>
          </c:tx>
          <c:spPr>
            <a:ln w="28575" cap="rnd">
              <a:solidFill>
                <a:schemeClr val="accent3"/>
              </a:solidFill>
              <a:round/>
            </a:ln>
            <a:effectLst/>
          </c:spPr>
          <c:marker>
            <c:symbol val="circle"/>
            <c:size val="7"/>
            <c:spPr>
              <a:solidFill>
                <a:schemeClr val="accent3"/>
              </a:solidFill>
              <a:ln w="9525">
                <a:solidFill>
                  <a:schemeClr val="accent3"/>
                </a:solidFill>
              </a:ln>
              <a:effectLst/>
            </c:spPr>
          </c:marker>
          <c:dLbls>
            <c:spPr>
              <a:noFill/>
              <a:ln>
                <a:noFill/>
              </a:ln>
              <a:effectLst/>
            </c:spPr>
            <c:txPr>
              <a:bodyPr rot="0" spcFirstLastPara="1" vertOverflow="ellipsis" vert="horz" wrap="square" anchor="ctr" anchorCtr="1"/>
              <a:lstStyle/>
              <a:p>
                <a:pPr>
                  <a:defRPr sz="1400" b="1"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PIVOT_ANALISIS!$E$5:$E$8</c:f>
              <c:strCache>
                <c:ptCount val="3"/>
                <c:pt idx="0">
                  <c:v>Juli</c:v>
                </c:pt>
                <c:pt idx="1">
                  <c:v>Agustus</c:v>
                </c:pt>
                <c:pt idx="2">
                  <c:v>September</c:v>
                </c:pt>
              </c:strCache>
            </c:strRef>
          </c:cat>
          <c:val>
            <c:numRef>
              <c:f>PIVOT_ANALISIS!$H$5:$H$8</c:f>
              <c:numCache>
                <c:formatCode>General</c:formatCode>
                <c:ptCount val="3"/>
                <c:pt idx="0">
                  <c:v>26</c:v>
                </c:pt>
                <c:pt idx="1">
                  <c:v>31</c:v>
                </c:pt>
                <c:pt idx="2">
                  <c:v>32</c:v>
                </c:pt>
              </c:numCache>
            </c:numRef>
          </c:val>
          <c:smooth val="0"/>
          <c:extLst>
            <c:ext xmlns:c16="http://schemas.microsoft.com/office/drawing/2014/chart" uri="{C3380CC4-5D6E-409C-BE32-E72D297353CC}">
              <c16:uniqueId val="{00000002-BEE5-419C-9846-DE75164E9BB9}"/>
            </c:ext>
          </c:extLst>
        </c:ser>
        <c:dLbls>
          <c:dLblPos val="t"/>
          <c:showLegendKey val="0"/>
          <c:showVal val="1"/>
          <c:showCatName val="0"/>
          <c:showSerName val="0"/>
          <c:showPercent val="0"/>
          <c:showBubbleSize val="0"/>
        </c:dLbls>
        <c:marker val="1"/>
        <c:smooth val="0"/>
        <c:axId val="816142687"/>
        <c:axId val="816143167"/>
      </c:lineChart>
      <c:catAx>
        <c:axId val="81614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16143167"/>
        <c:crosses val="autoZero"/>
        <c:auto val="1"/>
        <c:lblAlgn val="ctr"/>
        <c:lblOffset val="100"/>
        <c:noMultiLvlLbl val="0"/>
      </c:catAx>
      <c:valAx>
        <c:axId val="81614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16142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PivotTable - Piksi Ganesha Clinic.xlsx]PIVOT_ANALISIS!ptJenisPembayaran</c:name>
    <c:fmtId val="5"/>
  </c:pivotSource>
  <c:chart>
    <c:title>
      <c:tx>
        <c:rich>
          <a:bodyPr rot="0" spcFirstLastPara="1" vertOverflow="ellipsis" vert="horz" wrap="square" anchor="ctr" anchorCtr="1"/>
          <a:lstStyle/>
          <a:p>
            <a:pPr>
              <a:defRPr sz="1600" b="1" i="0" u="none" strike="noStrike" kern="1200" spc="0" baseline="0">
                <a:solidFill>
                  <a:schemeClr val="tx2">
                    <a:lumMod val="90000"/>
                    <a:lumOff val="10000"/>
                  </a:schemeClr>
                </a:solidFill>
                <a:latin typeface="+mn-lt"/>
                <a:ea typeface="+mn-ea"/>
                <a:cs typeface="+mn-cs"/>
              </a:defRPr>
            </a:pPr>
            <a:r>
              <a:rPr lang="en-US" sz="1600" b="1">
                <a:solidFill>
                  <a:schemeClr val="tx2">
                    <a:lumMod val="90000"/>
                    <a:lumOff val="10000"/>
                  </a:schemeClr>
                </a:solidFill>
              </a:rPr>
              <a:t>Status Kunjungan Berdasarkan Jenis Pembayaran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PIVOT_ANALISIS!$B$14:$B$15</c:f>
              <c:strCache>
                <c:ptCount val="1"/>
                <c:pt idx="0">
                  <c:v>Batal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PIVOT_ANALISIS!$A$16:$A$18</c:f>
              <c:strCache>
                <c:ptCount val="2"/>
                <c:pt idx="0">
                  <c:v>BPJS</c:v>
                </c:pt>
                <c:pt idx="1">
                  <c:v>Umum</c:v>
                </c:pt>
              </c:strCache>
            </c:strRef>
          </c:cat>
          <c:val>
            <c:numRef>
              <c:f>PIVOT_ANALISIS!$B$16:$B$18</c:f>
              <c:numCache>
                <c:formatCode>General</c:formatCode>
                <c:ptCount val="2"/>
                <c:pt idx="0">
                  <c:v>8</c:v>
                </c:pt>
                <c:pt idx="1">
                  <c:v>3</c:v>
                </c:pt>
              </c:numCache>
            </c:numRef>
          </c:val>
          <c:extLst>
            <c:ext xmlns:c16="http://schemas.microsoft.com/office/drawing/2014/chart" uri="{C3380CC4-5D6E-409C-BE32-E72D297353CC}">
              <c16:uniqueId val="{00000000-80E0-4618-BADD-6882DA3C5BE2}"/>
            </c:ext>
          </c:extLst>
        </c:ser>
        <c:ser>
          <c:idx val="1"/>
          <c:order val="1"/>
          <c:tx>
            <c:strRef>
              <c:f>PIVOT_ANALISIS!$C$14:$C$15</c:f>
              <c:strCache>
                <c:ptCount val="1"/>
                <c:pt idx="0">
                  <c:v>Selesai</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PIVOT_ANALISIS!$A$16:$A$18</c:f>
              <c:strCache>
                <c:ptCount val="2"/>
                <c:pt idx="0">
                  <c:v>BPJS</c:v>
                </c:pt>
                <c:pt idx="1">
                  <c:v>Umum</c:v>
                </c:pt>
              </c:strCache>
            </c:strRef>
          </c:cat>
          <c:val>
            <c:numRef>
              <c:f>PIVOT_ANALISIS!$C$16:$C$18</c:f>
              <c:numCache>
                <c:formatCode>General</c:formatCode>
                <c:ptCount val="2"/>
                <c:pt idx="0">
                  <c:v>101</c:v>
                </c:pt>
                <c:pt idx="1">
                  <c:v>68</c:v>
                </c:pt>
              </c:numCache>
            </c:numRef>
          </c:val>
          <c:extLst>
            <c:ext xmlns:c16="http://schemas.microsoft.com/office/drawing/2014/chart" uri="{C3380CC4-5D6E-409C-BE32-E72D297353CC}">
              <c16:uniqueId val="{00000001-80E0-4618-BADD-6882DA3C5BE2}"/>
            </c:ext>
          </c:extLst>
        </c:ser>
        <c:dLbls>
          <c:dLblPos val="outEnd"/>
          <c:showLegendKey val="0"/>
          <c:showVal val="1"/>
          <c:showCatName val="0"/>
          <c:showSerName val="0"/>
          <c:showPercent val="0"/>
          <c:showBubbleSize val="0"/>
        </c:dLbls>
        <c:gapWidth val="182"/>
        <c:axId val="855146624"/>
        <c:axId val="855138464"/>
      </c:barChart>
      <c:catAx>
        <c:axId val="85514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138464"/>
        <c:crosses val="autoZero"/>
        <c:auto val="1"/>
        <c:lblAlgn val="ctr"/>
        <c:lblOffset val="100"/>
        <c:noMultiLvlLbl val="0"/>
      </c:catAx>
      <c:valAx>
        <c:axId val="855138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146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PivotTable - Piksi Ganesha Clinic.xlsx]PIVOT_ANALISIS!PivotTable2</c:name>
    <c:fmtId val="2"/>
  </c:pivotSource>
  <c:chart>
    <c:title>
      <c:tx>
        <c:rich>
          <a:bodyPr rot="0" spcFirstLastPara="1" vertOverflow="ellipsis" vert="horz" wrap="square" anchor="ctr" anchorCtr="1"/>
          <a:lstStyle/>
          <a:p>
            <a:pPr>
              <a:defRPr sz="1600" b="1" i="0" u="none" strike="noStrike" kern="1200" spc="0" baseline="0">
                <a:solidFill>
                  <a:schemeClr val="tx2">
                    <a:lumMod val="90000"/>
                    <a:lumOff val="10000"/>
                  </a:schemeClr>
                </a:solidFill>
                <a:latin typeface="+mn-lt"/>
                <a:ea typeface="+mn-ea"/>
                <a:cs typeface="+mn-cs"/>
              </a:defRPr>
            </a:pPr>
            <a:r>
              <a:rPr lang="en-US" sz="1600" b="1">
                <a:solidFill>
                  <a:schemeClr val="tx2">
                    <a:lumMod val="90000"/>
                    <a:lumOff val="10000"/>
                  </a:schemeClr>
                </a:solidFill>
              </a:rPr>
              <a:t>Total Nilai Pelayanan Berdasarkan Poli</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rgbClr val="287A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87AB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PIVOT_ANALISIS!$K$14</c:f>
              <c:strCache>
                <c:ptCount val="1"/>
                <c:pt idx="0">
                  <c:v>Total</c:v>
                </c:pt>
              </c:strCache>
            </c:strRef>
          </c:tx>
          <c:spPr>
            <a:solidFill>
              <a:srgbClr val="287A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PIVOT_ANALISIS!$J$15:$J$18</c:f>
              <c:strCache>
                <c:ptCount val="3"/>
                <c:pt idx="0">
                  <c:v>Poli Umum</c:v>
                </c:pt>
                <c:pt idx="1">
                  <c:v>Poli Gigi</c:v>
                </c:pt>
                <c:pt idx="2">
                  <c:v>Poli KIA</c:v>
                </c:pt>
              </c:strCache>
            </c:strRef>
          </c:cat>
          <c:val>
            <c:numRef>
              <c:f>PIVOT_ANALISIS!$K$15:$K$18</c:f>
              <c:numCache>
                <c:formatCode>"Rp"\ #,##0</c:formatCode>
                <c:ptCount val="3"/>
                <c:pt idx="0">
                  <c:v>5150000</c:v>
                </c:pt>
                <c:pt idx="1">
                  <c:v>4230000</c:v>
                </c:pt>
                <c:pt idx="2">
                  <c:v>3140000</c:v>
                </c:pt>
              </c:numCache>
            </c:numRef>
          </c:val>
          <c:extLst>
            <c:ext xmlns:c16="http://schemas.microsoft.com/office/drawing/2014/chart" uri="{C3380CC4-5D6E-409C-BE32-E72D297353CC}">
              <c16:uniqueId val="{00000000-AE22-4425-840D-BA0594EDAD0E}"/>
            </c:ext>
          </c:extLst>
        </c:ser>
        <c:dLbls>
          <c:showLegendKey val="0"/>
          <c:showVal val="0"/>
          <c:showCatName val="0"/>
          <c:showSerName val="0"/>
          <c:showPercent val="0"/>
          <c:showBubbleSize val="0"/>
        </c:dLbls>
        <c:gapWidth val="219"/>
        <c:overlap val="-27"/>
        <c:axId val="1009522256"/>
        <c:axId val="1009526096"/>
      </c:barChart>
      <c:catAx>
        <c:axId val="10095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526096"/>
        <c:crosses val="autoZero"/>
        <c:auto val="1"/>
        <c:lblAlgn val="ctr"/>
        <c:lblOffset val="100"/>
        <c:noMultiLvlLbl val="0"/>
      </c:catAx>
      <c:valAx>
        <c:axId val="100952609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52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23816</xdr:colOff>
      <xdr:row>13</xdr:row>
      <xdr:rowOff>279584</xdr:rowOff>
    </xdr:from>
    <xdr:to>
      <xdr:col>8</xdr:col>
      <xdr:colOff>738188</xdr:colOff>
      <xdr:row>29</xdr:row>
      <xdr:rowOff>4200</xdr:rowOff>
    </xdr:to>
    <xdr:graphicFrame macro="">
      <xdr:nvGraphicFramePr>
        <xdr:cNvPr id="2" name="Chart 1">
          <a:extLst>
            <a:ext uri="{FF2B5EF4-FFF2-40B4-BE49-F238E27FC236}">
              <a16:creationId xmlns:a16="http://schemas.microsoft.com/office/drawing/2014/main" id="{2481EF40-6782-622D-FB99-58BFC7433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14290</xdr:colOff>
      <xdr:row>14</xdr:row>
      <xdr:rowOff>4203</xdr:rowOff>
    </xdr:from>
    <xdr:to>
      <xdr:col>17</xdr:col>
      <xdr:colOff>702470</xdr:colOff>
      <xdr:row>29</xdr:row>
      <xdr:rowOff>4200</xdr:rowOff>
    </xdr:to>
    <xdr:graphicFrame macro="">
      <xdr:nvGraphicFramePr>
        <xdr:cNvPr id="3" name="Chart 2">
          <a:extLst>
            <a:ext uri="{FF2B5EF4-FFF2-40B4-BE49-F238E27FC236}">
              <a16:creationId xmlns:a16="http://schemas.microsoft.com/office/drawing/2014/main" id="{FD4886E6-BEDE-A028-E18E-5471079E0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40481</xdr:colOff>
      <xdr:row>29</xdr:row>
      <xdr:rowOff>274820</xdr:rowOff>
    </xdr:from>
    <xdr:to>
      <xdr:col>8</xdr:col>
      <xdr:colOff>738187</xdr:colOff>
      <xdr:row>45</xdr:row>
      <xdr:rowOff>4199</xdr:rowOff>
    </xdr:to>
    <xdr:graphicFrame macro="">
      <xdr:nvGraphicFramePr>
        <xdr:cNvPr id="4" name="Chart 1">
          <a:extLst>
            <a:ext uri="{FF2B5EF4-FFF2-40B4-BE49-F238E27FC236}">
              <a16:creationId xmlns:a16="http://schemas.microsoft.com/office/drawing/2014/main" id="{87937250-D1CD-F993-3614-65F9224A9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238125</xdr:colOff>
      <xdr:row>29</xdr:row>
      <xdr:rowOff>248627</xdr:rowOff>
    </xdr:from>
    <xdr:to>
      <xdr:col>17</xdr:col>
      <xdr:colOff>702470</xdr:colOff>
      <xdr:row>45</xdr:row>
      <xdr:rowOff>4198</xdr:rowOff>
    </xdr:to>
    <xdr:graphicFrame macro="">
      <xdr:nvGraphicFramePr>
        <xdr:cNvPr id="5" name="Chart 2">
          <a:extLst>
            <a:ext uri="{FF2B5EF4-FFF2-40B4-BE49-F238E27FC236}">
              <a16:creationId xmlns:a16="http://schemas.microsoft.com/office/drawing/2014/main" id="{9B35F48C-565C-3B0B-6B95-A98A9D7E5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605117</xdr:colOff>
      <xdr:row>10</xdr:row>
      <xdr:rowOff>0</xdr:rowOff>
    </xdr:from>
    <xdr:to>
      <xdr:col>5</xdr:col>
      <xdr:colOff>728382</xdr:colOff>
      <xdr:row>13</xdr:row>
      <xdr:rowOff>0</xdr:rowOff>
    </xdr:to>
    <mc:AlternateContent xmlns:mc="http://schemas.openxmlformats.org/markup-compatibility/2006" xmlns:a14="http://schemas.microsoft.com/office/drawing/2010/main">
      <mc:Choice Requires="a14">
        <xdr:graphicFrame macro="">
          <xdr:nvGraphicFramePr>
            <xdr:cNvPr id="6" name="Bulan">
              <a:extLst>
                <a:ext uri="{FF2B5EF4-FFF2-40B4-BE49-F238E27FC236}">
                  <a16:creationId xmlns:a16="http://schemas.microsoft.com/office/drawing/2014/main" id="{D603FB13-B40E-4E5B-A65F-738A1F534B04}"/>
                </a:ext>
              </a:extLst>
            </xdr:cNvPr>
            <xdr:cNvGraphicFramePr/>
          </xdr:nvGraphicFramePr>
          <xdr:xfrm>
            <a:off x="0" y="0"/>
            <a:ext cx="0" cy="0"/>
          </xdr:xfrm>
          <a:graphic>
            <a:graphicData uri="http://schemas.microsoft.com/office/drawing/2010/slicer">
              <sle:slicer xmlns:sle="http://schemas.microsoft.com/office/drawing/2010/slicer" name="Bulan"/>
            </a:graphicData>
          </a:graphic>
        </xdr:graphicFrame>
      </mc:Choice>
      <mc:Fallback xmlns="">
        <xdr:sp macro="" textlink="">
          <xdr:nvSpPr>
            <xdr:cNvPr id="0" name=""/>
            <xdr:cNvSpPr>
              <a:spLocks noTextEdit="1"/>
            </xdr:cNvSpPr>
          </xdr:nvSpPr>
          <xdr:spPr>
            <a:xfrm>
              <a:off x="605117" y="2738438"/>
              <a:ext cx="3730859" cy="821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750792</xdr:colOff>
      <xdr:row>10</xdr:row>
      <xdr:rowOff>0</xdr:rowOff>
    </xdr:from>
    <xdr:to>
      <xdr:col>11</xdr:col>
      <xdr:colOff>717177</xdr:colOff>
      <xdr:row>13</xdr:row>
      <xdr:rowOff>0</xdr:rowOff>
    </xdr:to>
    <mc:AlternateContent xmlns:mc="http://schemas.openxmlformats.org/markup-compatibility/2006" xmlns:a14="http://schemas.microsoft.com/office/drawing/2010/main">
      <mc:Choice Requires="a14">
        <xdr:graphicFrame macro="">
          <xdr:nvGraphicFramePr>
            <xdr:cNvPr id="7" name="Poli Tujuan">
              <a:extLst>
                <a:ext uri="{FF2B5EF4-FFF2-40B4-BE49-F238E27FC236}">
                  <a16:creationId xmlns:a16="http://schemas.microsoft.com/office/drawing/2014/main" id="{0F19DBF2-0D71-434D-8769-19D64C76A685}"/>
                </a:ext>
              </a:extLst>
            </xdr:cNvPr>
            <xdr:cNvGraphicFramePr/>
          </xdr:nvGraphicFramePr>
          <xdr:xfrm>
            <a:off x="0" y="0"/>
            <a:ext cx="0" cy="0"/>
          </xdr:xfrm>
          <a:graphic>
            <a:graphicData uri="http://schemas.microsoft.com/office/drawing/2010/slicer">
              <sle:slicer xmlns:sle="http://schemas.microsoft.com/office/drawing/2010/slicer" name="Poli Tujuan"/>
            </a:graphicData>
          </a:graphic>
        </xdr:graphicFrame>
      </mc:Choice>
      <mc:Fallback xmlns="">
        <xdr:sp macro="" textlink="">
          <xdr:nvSpPr>
            <xdr:cNvPr id="0" name=""/>
            <xdr:cNvSpPr>
              <a:spLocks noTextEdit="1"/>
            </xdr:cNvSpPr>
          </xdr:nvSpPr>
          <xdr:spPr>
            <a:xfrm>
              <a:off x="4358386" y="2738438"/>
              <a:ext cx="3966885" cy="821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750793</xdr:colOff>
      <xdr:row>10</xdr:row>
      <xdr:rowOff>1</xdr:rowOff>
    </xdr:from>
    <xdr:to>
      <xdr:col>17</xdr:col>
      <xdr:colOff>739587</xdr:colOff>
      <xdr:row>13</xdr:row>
      <xdr:rowOff>808</xdr:rowOff>
    </xdr:to>
    <mc:AlternateContent xmlns:mc="http://schemas.openxmlformats.org/markup-compatibility/2006" xmlns:a14="http://schemas.microsoft.com/office/drawing/2010/main">
      <mc:Choice Requires="a14">
        <xdr:graphicFrame macro="">
          <xdr:nvGraphicFramePr>
            <xdr:cNvPr id="8" name="Jenis Pembayaran">
              <a:extLst>
                <a:ext uri="{FF2B5EF4-FFF2-40B4-BE49-F238E27FC236}">
                  <a16:creationId xmlns:a16="http://schemas.microsoft.com/office/drawing/2014/main" id="{1ED5EF54-FE7B-47AE-97D2-89CB155F9B95}"/>
                </a:ext>
              </a:extLst>
            </xdr:cNvPr>
            <xdr:cNvGraphicFramePr/>
          </xdr:nvGraphicFramePr>
          <xdr:xfrm>
            <a:off x="0" y="0"/>
            <a:ext cx="0" cy="0"/>
          </xdr:xfrm>
          <a:graphic>
            <a:graphicData uri="http://schemas.microsoft.com/office/drawing/2010/slicer">
              <sle:slicer xmlns:sle="http://schemas.microsoft.com/office/drawing/2010/slicer" name="Jenis Pembayaran"/>
            </a:graphicData>
          </a:graphic>
        </xdr:graphicFrame>
      </mc:Choice>
      <mc:Fallback xmlns="">
        <xdr:sp macro="" textlink="">
          <xdr:nvSpPr>
            <xdr:cNvPr id="0" name=""/>
            <xdr:cNvSpPr>
              <a:spLocks noTextEdit="1"/>
            </xdr:cNvSpPr>
          </xdr:nvSpPr>
          <xdr:spPr>
            <a:xfrm>
              <a:off x="8358887" y="2738439"/>
              <a:ext cx="4489356" cy="822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ty" refreshedDate="46315.017928356479" createdVersion="8" refreshedVersion="8" minRefreshableVersion="3" recordCount="180" xr:uid="{87099355-9CD0-43F2-A11B-C517EFAF9191}">
  <cacheSource type="worksheet">
    <worksheetSource name="tblKunjungan"/>
  </cacheSource>
  <cacheFields count="9">
    <cacheField name="ID Kunjungan" numFmtId="0">
      <sharedItems count="180">
        <s v="KJ-0001"/>
        <s v="KJ-0002"/>
        <s v="KJ-0003"/>
        <s v="KJ-0004"/>
        <s v="KJ-0005"/>
        <s v="KJ-0006"/>
        <s v="KJ-0007"/>
        <s v="KJ-0008"/>
        <s v="KJ-0009"/>
        <s v="KJ-0010"/>
        <s v="KJ-0011"/>
        <s v="KJ-0012"/>
        <s v="KJ-0013"/>
        <s v="KJ-0014"/>
        <s v="KJ-0015"/>
        <s v="KJ-0016"/>
        <s v="KJ-0017"/>
        <s v="KJ-0018"/>
        <s v="KJ-0019"/>
        <s v="KJ-0020"/>
        <s v="KJ-0021"/>
        <s v="KJ-0022"/>
        <s v="KJ-0023"/>
        <s v="KJ-0024"/>
        <s v="KJ-0025"/>
        <s v="KJ-0026"/>
        <s v="KJ-0027"/>
        <s v="KJ-0028"/>
        <s v="KJ-0029"/>
        <s v="KJ-0030"/>
        <s v="KJ-0031"/>
        <s v="KJ-0032"/>
        <s v="KJ-0033"/>
        <s v="KJ-0034"/>
        <s v="KJ-0035"/>
        <s v="KJ-0036"/>
        <s v="KJ-0037"/>
        <s v="KJ-0038"/>
        <s v="KJ-0039"/>
        <s v="KJ-0040"/>
        <s v="KJ-0041"/>
        <s v="KJ-0042"/>
        <s v="KJ-0043"/>
        <s v="KJ-0044"/>
        <s v="KJ-0045"/>
        <s v="KJ-0046"/>
        <s v="KJ-0047"/>
        <s v="KJ-0048"/>
        <s v="KJ-0049"/>
        <s v="KJ-0050"/>
        <s v="KJ-0051"/>
        <s v="KJ-0052"/>
        <s v="KJ-0053"/>
        <s v="KJ-0054"/>
        <s v="KJ-0055"/>
        <s v="KJ-0056"/>
        <s v="KJ-0057"/>
        <s v="KJ-0058"/>
        <s v="KJ-0059"/>
        <s v="KJ-0060"/>
        <s v="KJ-0061"/>
        <s v="KJ-0062"/>
        <s v="KJ-0063"/>
        <s v="KJ-0064"/>
        <s v="KJ-0065"/>
        <s v="KJ-0066"/>
        <s v="KJ-0067"/>
        <s v="KJ-0068"/>
        <s v="KJ-0069"/>
        <s v="KJ-0070"/>
        <s v="KJ-0071"/>
        <s v="KJ-0072"/>
        <s v="KJ-0073"/>
        <s v="KJ-0074"/>
        <s v="KJ-0075"/>
        <s v="KJ-0076"/>
        <s v="KJ-0077"/>
        <s v="KJ-0078"/>
        <s v="KJ-0079"/>
        <s v="KJ-0080"/>
        <s v="KJ-0081"/>
        <s v="KJ-0082"/>
        <s v="KJ-0083"/>
        <s v="KJ-0084"/>
        <s v="KJ-0085"/>
        <s v="KJ-0086"/>
        <s v="KJ-0087"/>
        <s v="KJ-0088"/>
        <s v="KJ-0089"/>
        <s v="KJ-0090"/>
        <s v="KJ-0091"/>
        <s v="KJ-0092"/>
        <s v="KJ-0093"/>
        <s v="KJ-0094"/>
        <s v="KJ-0095"/>
        <s v="KJ-0096"/>
        <s v="KJ-0097"/>
        <s v="KJ-0098"/>
        <s v="KJ-0099"/>
        <s v="KJ-0100"/>
        <s v="KJ-0101"/>
        <s v="KJ-0102"/>
        <s v="KJ-0103"/>
        <s v="KJ-0104"/>
        <s v="KJ-0105"/>
        <s v="KJ-0106"/>
        <s v="KJ-0107"/>
        <s v="KJ-0108"/>
        <s v="KJ-0109"/>
        <s v="KJ-0110"/>
        <s v="KJ-0111"/>
        <s v="KJ-0112"/>
        <s v="KJ-0113"/>
        <s v="KJ-0114"/>
        <s v="KJ-0115"/>
        <s v="KJ-0116"/>
        <s v="KJ-0117"/>
        <s v="KJ-0118"/>
        <s v="KJ-0119"/>
        <s v="KJ-0120"/>
        <s v="KJ-0121"/>
        <s v="KJ-0122"/>
        <s v="KJ-0123"/>
        <s v="KJ-0124"/>
        <s v="KJ-0125"/>
        <s v="KJ-0126"/>
        <s v="KJ-0127"/>
        <s v="KJ-0128"/>
        <s v="KJ-0129"/>
        <s v="KJ-0130"/>
        <s v="KJ-0131"/>
        <s v="KJ-0132"/>
        <s v="KJ-0133"/>
        <s v="KJ-0134"/>
        <s v="KJ-0135"/>
        <s v="KJ-0136"/>
        <s v="KJ-0137"/>
        <s v="KJ-0138"/>
        <s v="KJ-0139"/>
        <s v="KJ-0140"/>
        <s v="KJ-0141"/>
        <s v="KJ-0142"/>
        <s v="KJ-0143"/>
        <s v="KJ-0144"/>
        <s v="KJ-0145"/>
        <s v="KJ-0146"/>
        <s v="KJ-0147"/>
        <s v="KJ-0148"/>
        <s v="KJ-0149"/>
        <s v="KJ-0150"/>
        <s v="KJ-0151"/>
        <s v="KJ-0152"/>
        <s v="KJ-0153"/>
        <s v="KJ-0154"/>
        <s v="KJ-0155"/>
        <s v="KJ-0156"/>
        <s v="KJ-0157"/>
        <s v="KJ-0158"/>
        <s v="KJ-0159"/>
        <s v="KJ-0160"/>
        <s v="KJ-0161"/>
        <s v="KJ-0162"/>
        <s v="KJ-0163"/>
        <s v="KJ-0164"/>
        <s v="KJ-0165"/>
        <s v="KJ-0166"/>
        <s v="KJ-0167"/>
        <s v="KJ-0168"/>
        <s v="KJ-0169"/>
        <s v="KJ-0170"/>
        <s v="KJ-0171"/>
        <s v="KJ-0172"/>
        <s v="KJ-0173"/>
        <s v="KJ-0174"/>
        <s v="KJ-0175"/>
        <s v="KJ-0176"/>
        <s v="KJ-0177"/>
        <s v="KJ-0178"/>
        <s v="KJ-0179"/>
        <s v="KJ-0180"/>
      </sharedItems>
    </cacheField>
    <cacheField name="Tanggal Kunjungan" numFmtId="164">
      <sharedItems containsSemiMixedTypes="0" containsNonDate="0" containsDate="1" containsString="0" minDate="2026-07-01T00:00:00" maxDate="2026-10-01T00:00:00"/>
    </cacheField>
    <cacheField name="Bulan" numFmtId="0">
      <sharedItems count="3">
        <s v="Juli"/>
        <s v="Agustus"/>
        <s v="September"/>
      </sharedItems>
    </cacheField>
    <cacheField name="Poli Tujuan" numFmtId="0">
      <sharedItems count="3">
        <s v="Poli Gigi"/>
        <s v="Poli Umum"/>
        <s v="Poli KIA"/>
      </sharedItems>
    </cacheField>
    <cacheField name="Jenis Kelamin" numFmtId="0">
      <sharedItems/>
    </cacheField>
    <cacheField name="Kelompok Usia" numFmtId="0">
      <sharedItems/>
    </cacheField>
    <cacheField name="Jenis Pembayaran" numFmtId="0">
      <sharedItems count="2">
        <s v="Umum"/>
        <s v="BPJS"/>
      </sharedItems>
    </cacheField>
    <cacheField name="Status Kunjungan" numFmtId="0">
      <sharedItems count="2">
        <s v="Selesai"/>
        <s v="Batal"/>
      </sharedItems>
    </cacheField>
    <cacheField name="Biaya Pelayanan" numFmtId="165">
      <sharedItems containsSemiMixedTypes="0" containsString="0" containsNumber="1" containsInteger="1" minValue="0" maxValue="110000"/>
    </cacheField>
  </cacheFields>
  <extLst>
    <ext xmlns:x14="http://schemas.microsoft.com/office/spreadsheetml/2009/9/main" uri="{725AE2AE-9491-48be-B2B4-4EB974FC3084}">
      <x14:pivotCacheDefinition pivotCacheId="490963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x v="0"/>
    <d v="2026-07-01T00:00:00"/>
    <x v="0"/>
    <x v="0"/>
    <s v="Laki-laki"/>
    <s v="Anak"/>
    <x v="0"/>
    <x v="0"/>
    <n v="80000"/>
  </r>
  <r>
    <x v="1"/>
    <d v="2026-07-01T00:00:00"/>
    <x v="0"/>
    <x v="1"/>
    <s v="Perempuan"/>
    <s v="Remaja"/>
    <x v="1"/>
    <x v="0"/>
    <n v="50000"/>
  </r>
  <r>
    <x v="2"/>
    <d v="2026-07-01T00:00:00"/>
    <x v="0"/>
    <x v="2"/>
    <s v="Perempuan"/>
    <s v="Dewasa"/>
    <x v="1"/>
    <x v="0"/>
    <n v="90000"/>
  </r>
  <r>
    <x v="3"/>
    <d v="2026-07-02T00:00:00"/>
    <x v="0"/>
    <x v="0"/>
    <s v="Perempuan"/>
    <s v="Lansia"/>
    <x v="1"/>
    <x v="0"/>
    <n v="80000"/>
  </r>
  <r>
    <x v="4"/>
    <d v="2026-07-03T00:00:00"/>
    <x v="0"/>
    <x v="1"/>
    <s v="Laki-laki"/>
    <s v="Dewasa"/>
    <x v="1"/>
    <x v="0"/>
    <n v="50000"/>
  </r>
  <r>
    <x v="5"/>
    <d v="2026-07-03T00:00:00"/>
    <x v="0"/>
    <x v="0"/>
    <s v="Laki-laki"/>
    <s v="Dewasa"/>
    <x v="0"/>
    <x v="0"/>
    <n v="110000"/>
  </r>
  <r>
    <x v="6"/>
    <d v="2026-07-03T00:00:00"/>
    <x v="0"/>
    <x v="1"/>
    <s v="Laki-laki"/>
    <s v="Lansia"/>
    <x v="1"/>
    <x v="0"/>
    <n v="75000"/>
  </r>
  <r>
    <x v="7"/>
    <d v="2026-07-03T00:00:00"/>
    <x v="0"/>
    <x v="1"/>
    <s v="Perempuan"/>
    <s v="Dewasa"/>
    <x v="0"/>
    <x v="0"/>
    <n v="75000"/>
  </r>
  <r>
    <x v="8"/>
    <d v="2026-07-03T00:00:00"/>
    <x v="0"/>
    <x v="1"/>
    <s v="Perempuan"/>
    <s v="Dewasa"/>
    <x v="1"/>
    <x v="0"/>
    <n v="50000"/>
  </r>
  <r>
    <x v="9"/>
    <d v="2026-07-03T00:00:00"/>
    <x v="0"/>
    <x v="0"/>
    <s v="Laki-laki"/>
    <s v="Dewasa"/>
    <x v="0"/>
    <x v="0"/>
    <n v="110000"/>
  </r>
  <r>
    <x v="10"/>
    <d v="2026-07-04T00:00:00"/>
    <x v="0"/>
    <x v="0"/>
    <s v="Perempuan"/>
    <s v="Dewasa"/>
    <x v="1"/>
    <x v="0"/>
    <n v="80000"/>
  </r>
  <r>
    <x v="11"/>
    <d v="2026-07-04T00:00:00"/>
    <x v="0"/>
    <x v="1"/>
    <s v="Perempuan"/>
    <s v="Lansia"/>
    <x v="1"/>
    <x v="0"/>
    <n v="75000"/>
  </r>
  <r>
    <x v="12"/>
    <d v="2026-07-04T00:00:00"/>
    <x v="0"/>
    <x v="1"/>
    <s v="Laki-laki"/>
    <s v="Dewasa"/>
    <x v="1"/>
    <x v="0"/>
    <n v="50000"/>
  </r>
  <r>
    <x v="13"/>
    <d v="2026-07-04T00:00:00"/>
    <x v="0"/>
    <x v="1"/>
    <s v="Laki-laki"/>
    <s v="Dewasa"/>
    <x v="0"/>
    <x v="0"/>
    <n v="50000"/>
  </r>
  <r>
    <x v="14"/>
    <d v="2026-07-04T00:00:00"/>
    <x v="0"/>
    <x v="1"/>
    <s v="Laki-laki"/>
    <s v="Dewasa"/>
    <x v="1"/>
    <x v="0"/>
    <n v="75000"/>
  </r>
  <r>
    <x v="15"/>
    <d v="2026-07-04T00:00:00"/>
    <x v="0"/>
    <x v="1"/>
    <s v="Perempuan"/>
    <s v="Dewasa"/>
    <x v="0"/>
    <x v="0"/>
    <n v="50000"/>
  </r>
  <r>
    <x v="16"/>
    <d v="2026-07-06T00:00:00"/>
    <x v="0"/>
    <x v="0"/>
    <s v="Perempuan"/>
    <s v="Dewasa"/>
    <x v="0"/>
    <x v="0"/>
    <n v="80000"/>
  </r>
  <r>
    <x v="17"/>
    <d v="2026-07-07T00:00:00"/>
    <x v="0"/>
    <x v="1"/>
    <s v="Laki-laki"/>
    <s v="Dewasa"/>
    <x v="1"/>
    <x v="0"/>
    <n v="50000"/>
  </r>
  <r>
    <x v="18"/>
    <d v="2026-07-08T00:00:00"/>
    <x v="0"/>
    <x v="0"/>
    <s v="Laki-laki"/>
    <s v="Dewasa"/>
    <x v="1"/>
    <x v="0"/>
    <n v="110000"/>
  </r>
  <r>
    <x v="19"/>
    <d v="2026-07-10T00:00:00"/>
    <x v="0"/>
    <x v="1"/>
    <s v="Laki-laki"/>
    <s v="Dewasa"/>
    <x v="1"/>
    <x v="0"/>
    <n v="50000"/>
  </r>
  <r>
    <x v="20"/>
    <d v="2026-07-10T00:00:00"/>
    <x v="0"/>
    <x v="0"/>
    <s v="Laki-laki"/>
    <s v="Anak"/>
    <x v="1"/>
    <x v="0"/>
    <n v="110000"/>
  </r>
  <r>
    <x v="21"/>
    <d v="2026-07-11T00:00:00"/>
    <x v="0"/>
    <x v="1"/>
    <s v="Perempuan"/>
    <s v="Dewasa"/>
    <x v="0"/>
    <x v="0"/>
    <n v="75000"/>
  </r>
  <r>
    <x v="22"/>
    <d v="2026-07-11T00:00:00"/>
    <x v="0"/>
    <x v="0"/>
    <s v="Perempuan"/>
    <s v="Lansia"/>
    <x v="1"/>
    <x v="0"/>
    <n v="80000"/>
  </r>
  <r>
    <x v="23"/>
    <d v="2026-07-14T00:00:00"/>
    <x v="0"/>
    <x v="0"/>
    <s v="Perempuan"/>
    <s v="Dewasa"/>
    <x v="1"/>
    <x v="0"/>
    <n v="80000"/>
  </r>
  <r>
    <x v="24"/>
    <d v="2026-07-14T00:00:00"/>
    <x v="0"/>
    <x v="2"/>
    <s v="Perempuan"/>
    <s v="Dewasa"/>
    <x v="0"/>
    <x v="0"/>
    <n v="65000"/>
  </r>
  <r>
    <x v="25"/>
    <d v="2026-07-15T00:00:00"/>
    <x v="0"/>
    <x v="0"/>
    <s v="Laki-laki"/>
    <s v="Remaja"/>
    <x v="0"/>
    <x v="0"/>
    <n v="80000"/>
  </r>
  <r>
    <x v="26"/>
    <d v="2026-07-15T00:00:00"/>
    <x v="0"/>
    <x v="0"/>
    <s v="Perempuan"/>
    <s v="Anak"/>
    <x v="1"/>
    <x v="0"/>
    <n v="110000"/>
  </r>
  <r>
    <x v="27"/>
    <d v="2026-07-17T00:00:00"/>
    <x v="0"/>
    <x v="1"/>
    <s v="Laki-laki"/>
    <s v="Dewasa"/>
    <x v="1"/>
    <x v="0"/>
    <n v="75000"/>
  </r>
  <r>
    <x v="28"/>
    <d v="2026-07-18T00:00:00"/>
    <x v="0"/>
    <x v="1"/>
    <s v="Perempuan"/>
    <s v="Lansia"/>
    <x v="1"/>
    <x v="0"/>
    <n v="50000"/>
  </r>
  <r>
    <x v="29"/>
    <d v="2026-07-20T00:00:00"/>
    <x v="0"/>
    <x v="1"/>
    <s v="Laki-laki"/>
    <s v="Lansia"/>
    <x v="0"/>
    <x v="0"/>
    <n v="75000"/>
  </r>
  <r>
    <x v="30"/>
    <d v="2026-07-21T00:00:00"/>
    <x v="0"/>
    <x v="0"/>
    <s v="Perempuan"/>
    <s v="Dewasa"/>
    <x v="1"/>
    <x v="0"/>
    <n v="110000"/>
  </r>
  <r>
    <x v="31"/>
    <d v="2026-07-21T00:00:00"/>
    <x v="0"/>
    <x v="1"/>
    <s v="Laki-laki"/>
    <s v="Dewasa"/>
    <x v="0"/>
    <x v="0"/>
    <n v="50000"/>
  </r>
  <r>
    <x v="32"/>
    <d v="2026-07-21T00:00:00"/>
    <x v="0"/>
    <x v="2"/>
    <s v="Perempuan"/>
    <s v="Dewasa"/>
    <x v="0"/>
    <x v="0"/>
    <n v="65000"/>
  </r>
  <r>
    <x v="33"/>
    <d v="2026-07-22T00:00:00"/>
    <x v="0"/>
    <x v="1"/>
    <s v="Perempuan"/>
    <s v="Anak"/>
    <x v="1"/>
    <x v="0"/>
    <n v="75000"/>
  </r>
  <r>
    <x v="34"/>
    <d v="2026-07-22T00:00:00"/>
    <x v="0"/>
    <x v="1"/>
    <s v="Perempuan"/>
    <s v="Remaja"/>
    <x v="0"/>
    <x v="0"/>
    <n v="75000"/>
  </r>
  <r>
    <x v="35"/>
    <d v="2026-07-23T00:00:00"/>
    <x v="0"/>
    <x v="1"/>
    <s v="Perempuan"/>
    <s v="Remaja"/>
    <x v="1"/>
    <x v="0"/>
    <n v="75000"/>
  </r>
  <r>
    <x v="36"/>
    <d v="2026-07-23T00:00:00"/>
    <x v="0"/>
    <x v="0"/>
    <s v="Laki-laki"/>
    <s v="Dewasa"/>
    <x v="1"/>
    <x v="0"/>
    <n v="110000"/>
  </r>
  <r>
    <x v="37"/>
    <d v="2026-07-24T00:00:00"/>
    <x v="0"/>
    <x v="0"/>
    <s v="Laki-laki"/>
    <s v="Remaja"/>
    <x v="1"/>
    <x v="1"/>
    <n v="0"/>
  </r>
  <r>
    <x v="38"/>
    <d v="2026-07-24T00:00:00"/>
    <x v="0"/>
    <x v="2"/>
    <s v="Perempuan"/>
    <s v="Dewasa"/>
    <x v="0"/>
    <x v="0"/>
    <n v="90000"/>
  </r>
  <r>
    <x v="39"/>
    <d v="2026-07-25T00:00:00"/>
    <x v="0"/>
    <x v="2"/>
    <s v="Laki-laki"/>
    <s v="Anak"/>
    <x v="0"/>
    <x v="0"/>
    <n v="65000"/>
  </r>
  <r>
    <x v="40"/>
    <d v="2026-07-25T00:00:00"/>
    <x v="0"/>
    <x v="2"/>
    <s v="Perempuan"/>
    <s v="Dewasa"/>
    <x v="1"/>
    <x v="1"/>
    <n v="0"/>
  </r>
  <r>
    <x v="41"/>
    <d v="2026-07-27T00:00:00"/>
    <x v="0"/>
    <x v="1"/>
    <s v="Perempuan"/>
    <s v="Dewasa"/>
    <x v="0"/>
    <x v="0"/>
    <n v="75000"/>
  </r>
  <r>
    <x v="42"/>
    <d v="2026-07-27T00:00:00"/>
    <x v="0"/>
    <x v="0"/>
    <s v="Laki-laki"/>
    <s v="Lansia"/>
    <x v="1"/>
    <x v="0"/>
    <n v="80000"/>
  </r>
  <r>
    <x v="43"/>
    <d v="2026-07-28T00:00:00"/>
    <x v="0"/>
    <x v="0"/>
    <s v="Laki-laki"/>
    <s v="Lansia"/>
    <x v="1"/>
    <x v="0"/>
    <n v="80000"/>
  </r>
  <r>
    <x v="44"/>
    <d v="2026-07-28T00:00:00"/>
    <x v="0"/>
    <x v="1"/>
    <s v="Perempuan"/>
    <s v="Dewasa"/>
    <x v="1"/>
    <x v="0"/>
    <n v="50000"/>
  </r>
  <r>
    <x v="45"/>
    <d v="2026-07-28T00:00:00"/>
    <x v="0"/>
    <x v="1"/>
    <s v="Perempuan"/>
    <s v="Dewasa"/>
    <x v="1"/>
    <x v="0"/>
    <n v="75000"/>
  </r>
  <r>
    <x v="46"/>
    <d v="2026-07-29T00:00:00"/>
    <x v="0"/>
    <x v="1"/>
    <s v="Perempuan"/>
    <s v="Dewasa"/>
    <x v="1"/>
    <x v="0"/>
    <n v="75000"/>
  </r>
  <r>
    <x v="47"/>
    <d v="2026-07-29T00:00:00"/>
    <x v="0"/>
    <x v="0"/>
    <s v="Laki-laki"/>
    <s v="Lansia"/>
    <x v="0"/>
    <x v="0"/>
    <n v="80000"/>
  </r>
  <r>
    <x v="48"/>
    <d v="2026-07-29T00:00:00"/>
    <x v="0"/>
    <x v="2"/>
    <s v="Perempuan"/>
    <s v="Dewasa"/>
    <x v="0"/>
    <x v="0"/>
    <n v="90000"/>
  </r>
  <r>
    <x v="49"/>
    <d v="2026-07-29T00:00:00"/>
    <x v="0"/>
    <x v="0"/>
    <s v="Perempuan"/>
    <s v="Anak"/>
    <x v="0"/>
    <x v="0"/>
    <n v="110000"/>
  </r>
  <r>
    <x v="50"/>
    <d v="2026-07-29T00:00:00"/>
    <x v="0"/>
    <x v="2"/>
    <s v="Perempuan"/>
    <s v="Anak"/>
    <x v="1"/>
    <x v="0"/>
    <n v="65000"/>
  </r>
  <r>
    <x v="51"/>
    <d v="2026-07-30T00:00:00"/>
    <x v="0"/>
    <x v="1"/>
    <s v="Perempuan"/>
    <s v="Dewasa"/>
    <x v="0"/>
    <x v="0"/>
    <n v="50000"/>
  </r>
  <r>
    <x v="52"/>
    <d v="2026-07-30T00:00:00"/>
    <x v="0"/>
    <x v="2"/>
    <s v="Perempuan"/>
    <s v="Dewasa"/>
    <x v="1"/>
    <x v="0"/>
    <n v="65000"/>
  </r>
  <r>
    <x v="53"/>
    <d v="2026-07-30T00:00:00"/>
    <x v="0"/>
    <x v="1"/>
    <s v="Laki-laki"/>
    <s v="Dewasa"/>
    <x v="0"/>
    <x v="0"/>
    <n v="50000"/>
  </r>
  <r>
    <x v="54"/>
    <d v="2026-07-30T00:00:00"/>
    <x v="0"/>
    <x v="0"/>
    <s v="Perempuan"/>
    <s v="Dewasa"/>
    <x v="1"/>
    <x v="0"/>
    <n v="80000"/>
  </r>
  <r>
    <x v="55"/>
    <d v="2026-08-01T00:00:00"/>
    <x v="1"/>
    <x v="1"/>
    <s v="Perempuan"/>
    <s v="Dewasa"/>
    <x v="1"/>
    <x v="0"/>
    <n v="75000"/>
  </r>
  <r>
    <x v="56"/>
    <d v="2026-08-03T00:00:00"/>
    <x v="1"/>
    <x v="2"/>
    <s v="Perempuan"/>
    <s v="Dewasa"/>
    <x v="1"/>
    <x v="0"/>
    <n v="90000"/>
  </r>
  <r>
    <x v="57"/>
    <d v="2026-08-03T00:00:00"/>
    <x v="1"/>
    <x v="0"/>
    <s v="Perempuan"/>
    <s v="Lansia"/>
    <x v="0"/>
    <x v="0"/>
    <n v="110000"/>
  </r>
  <r>
    <x v="58"/>
    <d v="2026-08-04T00:00:00"/>
    <x v="1"/>
    <x v="1"/>
    <s v="Perempuan"/>
    <s v="Lansia"/>
    <x v="1"/>
    <x v="0"/>
    <n v="75000"/>
  </r>
  <r>
    <x v="59"/>
    <d v="2026-08-04T00:00:00"/>
    <x v="1"/>
    <x v="1"/>
    <s v="Laki-laki"/>
    <s v="Dewasa"/>
    <x v="1"/>
    <x v="0"/>
    <n v="50000"/>
  </r>
  <r>
    <x v="60"/>
    <d v="2026-08-05T00:00:00"/>
    <x v="1"/>
    <x v="1"/>
    <s v="Perempuan"/>
    <s v="Dewasa"/>
    <x v="1"/>
    <x v="0"/>
    <n v="75000"/>
  </r>
  <r>
    <x v="61"/>
    <d v="2026-08-05T00:00:00"/>
    <x v="1"/>
    <x v="0"/>
    <s v="Laki-laki"/>
    <s v="Anak"/>
    <x v="0"/>
    <x v="0"/>
    <n v="110000"/>
  </r>
  <r>
    <x v="62"/>
    <d v="2026-08-05T00:00:00"/>
    <x v="1"/>
    <x v="0"/>
    <s v="Perempuan"/>
    <s v="Dewasa"/>
    <x v="1"/>
    <x v="0"/>
    <n v="80000"/>
  </r>
  <r>
    <x v="63"/>
    <d v="2026-08-05T00:00:00"/>
    <x v="1"/>
    <x v="1"/>
    <s v="Perempuan"/>
    <s v="Dewasa"/>
    <x v="0"/>
    <x v="0"/>
    <n v="50000"/>
  </r>
  <r>
    <x v="64"/>
    <d v="2026-08-05T00:00:00"/>
    <x v="1"/>
    <x v="2"/>
    <s v="Perempuan"/>
    <s v="Anak"/>
    <x v="0"/>
    <x v="0"/>
    <n v="65000"/>
  </r>
  <r>
    <x v="65"/>
    <d v="2026-08-05T00:00:00"/>
    <x v="1"/>
    <x v="1"/>
    <s v="Perempuan"/>
    <s v="Dewasa"/>
    <x v="1"/>
    <x v="0"/>
    <n v="75000"/>
  </r>
  <r>
    <x v="66"/>
    <d v="2026-08-07T00:00:00"/>
    <x v="1"/>
    <x v="1"/>
    <s v="Laki-laki"/>
    <s v="Dewasa"/>
    <x v="1"/>
    <x v="0"/>
    <n v="50000"/>
  </r>
  <r>
    <x v="67"/>
    <d v="2026-08-07T00:00:00"/>
    <x v="1"/>
    <x v="1"/>
    <s v="Laki-laki"/>
    <s v="Dewasa"/>
    <x v="1"/>
    <x v="0"/>
    <n v="50000"/>
  </r>
  <r>
    <x v="68"/>
    <d v="2026-08-07T00:00:00"/>
    <x v="1"/>
    <x v="1"/>
    <s v="Laki-laki"/>
    <s v="Dewasa"/>
    <x v="0"/>
    <x v="0"/>
    <n v="50000"/>
  </r>
  <r>
    <x v="69"/>
    <d v="2026-08-07T00:00:00"/>
    <x v="1"/>
    <x v="1"/>
    <s v="Perempuan"/>
    <s v="Anak"/>
    <x v="0"/>
    <x v="1"/>
    <n v="0"/>
  </r>
  <r>
    <x v="70"/>
    <d v="2026-08-08T00:00:00"/>
    <x v="1"/>
    <x v="1"/>
    <s v="Perempuan"/>
    <s v="Lansia"/>
    <x v="0"/>
    <x v="0"/>
    <n v="50000"/>
  </r>
  <r>
    <x v="71"/>
    <d v="2026-08-08T00:00:00"/>
    <x v="1"/>
    <x v="1"/>
    <s v="Laki-laki"/>
    <s v="Dewasa"/>
    <x v="1"/>
    <x v="0"/>
    <n v="50000"/>
  </r>
  <r>
    <x v="72"/>
    <d v="2026-08-10T00:00:00"/>
    <x v="1"/>
    <x v="1"/>
    <s v="Perempuan"/>
    <s v="Dewasa"/>
    <x v="0"/>
    <x v="0"/>
    <n v="50000"/>
  </r>
  <r>
    <x v="73"/>
    <d v="2026-08-10T00:00:00"/>
    <x v="1"/>
    <x v="0"/>
    <s v="Laki-laki"/>
    <s v="Dewasa"/>
    <x v="1"/>
    <x v="0"/>
    <n v="110000"/>
  </r>
  <r>
    <x v="74"/>
    <d v="2026-08-11T00:00:00"/>
    <x v="1"/>
    <x v="0"/>
    <s v="Laki-laki"/>
    <s v="Lansia"/>
    <x v="1"/>
    <x v="0"/>
    <n v="110000"/>
  </r>
  <r>
    <x v="75"/>
    <d v="2026-08-11T00:00:00"/>
    <x v="1"/>
    <x v="2"/>
    <s v="Perempuan"/>
    <s v="Anak"/>
    <x v="1"/>
    <x v="0"/>
    <n v="90000"/>
  </r>
  <r>
    <x v="76"/>
    <d v="2026-08-12T00:00:00"/>
    <x v="1"/>
    <x v="1"/>
    <s v="Perempuan"/>
    <s v="Dewasa"/>
    <x v="1"/>
    <x v="0"/>
    <n v="75000"/>
  </r>
  <r>
    <x v="77"/>
    <d v="2026-08-13T00:00:00"/>
    <x v="1"/>
    <x v="1"/>
    <s v="Perempuan"/>
    <s v="Remaja"/>
    <x v="0"/>
    <x v="0"/>
    <n v="50000"/>
  </r>
  <r>
    <x v="78"/>
    <d v="2026-08-13T00:00:00"/>
    <x v="1"/>
    <x v="1"/>
    <s v="Perempuan"/>
    <s v="Dewasa"/>
    <x v="0"/>
    <x v="0"/>
    <n v="75000"/>
  </r>
  <r>
    <x v="79"/>
    <d v="2026-08-14T00:00:00"/>
    <x v="1"/>
    <x v="1"/>
    <s v="Laki-laki"/>
    <s v="Dewasa"/>
    <x v="0"/>
    <x v="0"/>
    <n v="75000"/>
  </r>
  <r>
    <x v="80"/>
    <d v="2026-08-14T00:00:00"/>
    <x v="1"/>
    <x v="1"/>
    <s v="Perempuan"/>
    <s v="Dewasa"/>
    <x v="1"/>
    <x v="0"/>
    <n v="50000"/>
  </r>
  <r>
    <x v="81"/>
    <d v="2026-08-14T00:00:00"/>
    <x v="1"/>
    <x v="1"/>
    <s v="Laki-laki"/>
    <s v="Remaja"/>
    <x v="1"/>
    <x v="0"/>
    <n v="50000"/>
  </r>
  <r>
    <x v="82"/>
    <d v="2026-08-14T00:00:00"/>
    <x v="1"/>
    <x v="2"/>
    <s v="Perempuan"/>
    <s v="Remaja"/>
    <x v="1"/>
    <x v="0"/>
    <n v="90000"/>
  </r>
  <r>
    <x v="83"/>
    <d v="2026-08-15T00:00:00"/>
    <x v="1"/>
    <x v="1"/>
    <s v="Perempuan"/>
    <s v="Lansia"/>
    <x v="0"/>
    <x v="0"/>
    <n v="75000"/>
  </r>
  <r>
    <x v="84"/>
    <d v="2026-08-15T00:00:00"/>
    <x v="1"/>
    <x v="0"/>
    <s v="Perempuan"/>
    <s v="Anak"/>
    <x v="1"/>
    <x v="0"/>
    <n v="80000"/>
  </r>
  <r>
    <x v="85"/>
    <d v="2026-08-17T00:00:00"/>
    <x v="1"/>
    <x v="2"/>
    <s v="Perempuan"/>
    <s v="Dewasa"/>
    <x v="1"/>
    <x v="0"/>
    <n v="65000"/>
  </r>
  <r>
    <x v="86"/>
    <d v="2026-08-17T00:00:00"/>
    <x v="1"/>
    <x v="0"/>
    <s v="Laki-laki"/>
    <s v="Anak"/>
    <x v="0"/>
    <x v="0"/>
    <n v="110000"/>
  </r>
  <r>
    <x v="87"/>
    <d v="2026-08-17T00:00:00"/>
    <x v="1"/>
    <x v="1"/>
    <s v="Laki-laki"/>
    <s v="Anak"/>
    <x v="0"/>
    <x v="0"/>
    <n v="75000"/>
  </r>
  <r>
    <x v="88"/>
    <d v="2026-08-17T00:00:00"/>
    <x v="1"/>
    <x v="2"/>
    <s v="Perempuan"/>
    <s v="Dewasa"/>
    <x v="0"/>
    <x v="0"/>
    <n v="90000"/>
  </r>
  <r>
    <x v="89"/>
    <d v="2026-08-18T00:00:00"/>
    <x v="1"/>
    <x v="1"/>
    <s v="Laki-laki"/>
    <s v="Anak"/>
    <x v="1"/>
    <x v="0"/>
    <n v="50000"/>
  </r>
  <r>
    <x v="90"/>
    <d v="2026-08-18T00:00:00"/>
    <x v="1"/>
    <x v="2"/>
    <s v="Perempuan"/>
    <s v="Dewasa"/>
    <x v="1"/>
    <x v="0"/>
    <n v="65000"/>
  </r>
  <r>
    <x v="91"/>
    <d v="2026-08-18T00:00:00"/>
    <x v="1"/>
    <x v="2"/>
    <s v="Perempuan"/>
    <s v="Dewasa"/>
    <x v="1"/>
    <x v="0"/>
    <n v="65000"/>
  </r>
  <r>
    <x v="92"/>
    <d v="2026-08-18T00:00:00"/>
    <x v="1"/>
    <x v="1"/>
    <s v="Laki-laki"/>
    <s v="Dewasa"/>
    <x v="1"/>
    <x v="0"/>
    <n v="50000"/>
  </r>
  <r>
    <x v="93"/>
    <d v="2026-08-19T00:00:00"/>
    <x v="1"/>
    <x v="1"/>
    <s v="Laki-laki"/>
    <s v="Dewasa"/>
    <x v="1"/>
    <x v="0"/>
    <n v="75000"/>
  </r>
  <r>
    <x v="94"/>
    <d v="2026-08-19T00:00:00"/>
    <x v="1"/>
    <x v="2"/>
    <s v="Perempuan"/>
    <s v="Dewasa"/>
    <x v="0"/>
    <x v="0"/>
    <n v="65000"/>
  </r>
  <r>
    <x v="95"/>
    <d v="2026-08-22T00:00:00"/>
    <x v="1"/>
    <x v="2"/>
    <s v="Perempuan"/>
    <s v="Dewasa"/>
    <x v="0"/>
    <x v="0"/>
    <n v="90000"/>
  </r>
  <r>
    <x v="96"/>
    <d v="2026-08-22T00:00:00"/>
    <x v="1"/>
    <x v="0"/>
    <s v="Laki-laki"/>
    <s v="Dewasa"/>
    <x v="1"/>
    <x v="0"/>
    <n v="80000"/>
  </r>
  <r>
    <x v="97"/>
    <d v="2026-08-22T00:00:00"/>
    <x v="1"/>
    <x v="0"/>
    <s v="Perempuan"/>
    <s v="Dewasa"/>
    <x v="1"/>
    <x v="1"/>
    <n v="0"/>
  </r>
  <r>
    <x v="98"/>
    <d v="2026-08-24T00:00:00"/>
    <x v="1"/>
    <x v="2"/>
    <s v="Laki-laki"/>
    <s v="Anak"/>
    <x v="1"/>
    <x v="0"/>
    <n v="90000"/>
  </r>
  <r>
    <x v="99"/>
    <d v="2026-08-24T00:00:00"/>
    <x v="1"/>
    <x v="0"/>
    <s v="Laki-laki"/>
    <s v="Dewasa"/>
    <x v="1"/>
    <x v="0"/>
    <n v="110000"/>
  </r>
  <r>
    <x v="100"/>
    <d v="2026-08-25T00:00:00"/>
    <x v="1"/>
    <x v="1"/>
    <s v="Laki-laki"/>
    <s v="Dewasa"/>
    <x v="0"/>
    <x v="0"/>
    <n v="50000"/>
  </r>
  <r>
    <x v="101"/>
    <d v="2026-08-25T00:00:00"/>
    <x v="1"/>
    <x v="0"/>
    <s v="Laki-laki"/>
    <s v="Dewasa"/>
    <x v="0"/>
    <x v="0"/>
    <n v="110000"/>
  </r>
  <r>
    <x v="102"/>
    <d v="2026-08-25T00:00:00"/>
    <x v="1"/>
    <x v="0"/>
    <s v="Perempuan"/>
    <s v="Dewasa"/>
    <x v="1"/>
    <x v="0"/>
    <n v="110000"/>
  </r>
  <r>
    <x v="103"/>
    <d v="2026-08-25T00:00:00"/>
    <x v="1"/>
    <x v="0"/>
    <s v="Perempuan"/>
    <s v="Anak"/>
    <x v="1"/>
    <x v="0"/>
    <n v="110000"/>
  </r>
  <r>
    <x v="104"/>
    <d v="2026-08-25T00:00:00"/>
    <x v="1"/>
    <x v="1"/>
    <s v="Laki-laki"/>
    <s v="Dewasa"/>
    <x v="1"/>
    <x v="1"/>
    <n v="0"/>
  </r>
  <r>
    <x v="105"/>
    <d v="2026-08-26T00:00:00"/>
    <x v="1"/>
    <x v="1"/>
    <s v="Laki-laki"/>
    <s v="Dewasa"/>
    <x v="0"/>
    <x v="0"/>
    <n v="50000"/>
  </r>
  <r>
    <x v="106"/>
    <d v="2026-08-27T00:00:00"/>
    <x v="1"/>
    <x v="1"/>
    <s v="Laki-laki"/>
    <s v="Dewasa"/>
    <x v="0"/>
    <x v="1"/>
    <n v="0"/>
  </r>
  <r>
    <x v="107"/>
    <d v="2026-08-27T00:00:00"/>
    <x v="1"/>
    <x v="1"/>
    <s v="Laki-laki"/>
    <s v="Dewasa"/>
    <x v="1"/>
    <x v="0"/>
    <n v="75000"/>
  </r>
  <r>
    <x v="108"/>
    <d v="2026-08-28T00:00:00"/>
    <x v="1"/>
    <x v="0"/>
    <s v="Laki-laki"/>
    <s v="Lansia"/>
    <x v="1"/>
    <x v="0"/>
    <n v="80000"/>
  </r>
  <r>
    <x v="109"/>
    <d v="2026-08-28T00:00:00"/>
    <x v="1"/>
    <x v="2"/>
    <s v="Laki-laki"/>
    <s v="Anak"/>
    <x v="1"/>
    <x v="0"/>
    <n v="65000"/>
  </r>
  <r>
    <x v="110"/>
    <d v="2026-08-28T00:00:00"/>
    <x v="1"/>
    <x v="1"/>
    <s v="Laki-laki"/>
    <s v="Anak"/>
    <x v="0"/>
    <x v="0"/>
    <n v="50000"/>
  </r>
  <r>
    <x v="111"/>
    <d v="2026-08-29T00:00:00"/>
    <x v="1"/>
    <x v="2"/>
    <s v="Perempuan"/>
    <s v="Dewasa"/>
    <x v="1"/>
    <x v="0"/>
    <n v="65000"/>
  </r>
  <r>
    <x v="112"/>
    <d v="2026-08-29T00:00:00"/>
    <x v="1"/>
    <x v="1"/>
    <s v="Perempuan"/>
    <s v="Dewasa"/>
    <x v="1"/>
    <x v="0"/>
    <n v="75000"/>
  </r>
  <r>
    <x v="113"/>
    <d v="2026-08-31T00:00:00"/>
    <x v="1"/>
    <x v="0"/>
    <s v="Laki-laki"/>
    <s v="Dewasa"/>
    <x v="1"/>
    <x v="0"/>
    <n v="110000"/>
  </r>
  <r>
    <x v="114"/>
    <d v="2026-08-31T00:00:00"/>
    <x v="1"/>
    <x v="2"/>
    <s v="Laki-laki"/>
    <s v="Anak"/>
    <x v="1"/>
    <x v="0"/>
    <n v="90000"/>
  </r>
  <r>
    <x v="115"/>
    <d v="2026-09-01T00:00:00"/>
    <x v="2"/>
    <x v="0"/>
    <s v="Perempuan"/>
    <s v="Lansia"/>
    <x v="1"/>
    <x v="0"/>
    <n v="80000"/>
  </r>
  <r>
    <x v="116"/>
    <d v="2026-09-01T00:00:00"/>
    <x v="2"/>
    <x v="0"/>
    <s v="Laki-laki"/>
    <s v="Lansia"/>
    <x v="1"/>
    <x v="0"/>
    <n v="80000"/>
  </r>
  <r>
    <x v="117"/>
    <d v="2026-09-01T00:00:00"/>
    <x v="2"/>
    <x v="0"/>
    <s v="Laki-laki"/>
    <s v="Dewasa"/>
    <x v="1"/>
    <x v="0"/>
    <n v="80000"/>
  </r>
  <r>
    <x v="118"/>
    <d v="2026-09-01T00:00:00"/>
    <x v="2"/>
    <x v="2"/>
    <s v="Perempuan"/>
    <s v="Dewasa"/>
    <x v="1"/>
    <x v="0"/>
    <n v="65000"/>
  </r>
  <r>
    <x v="119"/>
    <d v="2026-09-02T00:00:00"/>
    <x v="2"/>
    <x v="1"/>
    <s v="Laki-laki"/>
    <s v="Dewasa"/>
    <x v="1"/>
    <x v="0"/>
    <n v="75000"/>
  </r>
  <r>
    <x v="120"/>
    <d v="2026-09-02T00:00:00"/>
    <x v="2"/>
    <x v="2"/>
    <s v="Perempuan"/>
    <s v="Dewasa"/>
    <x v="0"/>
    <x v="0"/>
    <n v="65000"/>
  </r>
  <r>
    <x v="121"/>
    <d v="2026-09-03T00:00:00"/>
    <x v="2"/>
    <x v="2"/>
    <s v="Perempuan"/>
    <s v="Dewasa"/>
    <x v="0"/>
    <x v="0"/>
    <n v="65000"/>
  </r>
  <r>
    <x v="122"/>
    <d v="2026-09-03T00:00:00"/>
    <x v="2"/>
    <x v="2"/>
    <s v="Perempuan"/>
    <s v="Dewasa"/>
    <x v="1"/>
    <x v="1"/>
    <n v="0"/>
  </r>
  <r>
    <x v="123"/>
    <d v="2026-09-04T00:00:00"/>
    <x v="2"/>
    <x v="2"/>
    <s v="Perempuan"/>
    <s v="Anak"/>
    <x v="1"/>
    <x v="0"/>
    <n v="65000"/>
  </r>
  <r>
    <x v="124"/>
    <d v="2026-09-04T00:00:00"/>
    <x v="2"/>
    <x v="1"/>
    <s v="Laki-laki"/>
    <s v="Dewasa"/>
    <x v="0"/>
    <x v="0"/>
    <n v="75000"/>
  </r>
  <r>
    <x v="125"/>
    <d v="2026-09-05T00:00:00"/>
    <x v="2"/>
    <x v="2"/>
    <s v="Perempuan"/>
    <s v="Dewasa"/>
    <x v="0"/>
    <x v="0"/>
    <n v="90000"/>
  </r>
  <r>
    <x v="126"/>
    <d v="2026-09-05T00:00:00"/>
    <x v="2"/>
    <x v="2"/>
    <s v="Perempuan"/>
    <s v="Anak"/>
    <x v="0"/>
    <x v="0"/>
    <n v="90000"/>
  </r>
  <r>
    <x v="127"/>
    <d v="2026-09-07T00:00:00"/>
    <x v="2"/>
    <x v="0"/>
    <s v="Laki-laki"/>
    <s v="Dewasa"/>
    <x v="1"/>
    <x v="0"/>
    <n v="110000"/>
  </r>
  <r>
    <x v="128"/>
    <d v="2026-09-07T00:00:00"/>
    <x v="2"/>
    <x v="0"/>
    <s v="Perempuan"/>
    <s v="Anak"/>
    <x v="1"/>
    <x v="1"/>
    <n v="0"/>
  </r>
  <r>
    <x v="129"/>
    <d v="2026-09-07T00:00:00"/>
    <x v="2"/>
    <x v="2"/>
    <s v="Laki-laki"/>
    <s v="Anak"/>
    <x v="0"/>
    <x v="0"/>
    <n v="90000"/>
  </r>
  <r>
    <x v="130"/>
    <d v="2026-09-08T00:00:00"/>
    <x v="2"/>
    <x v="1"/>
    <s v="Perempuan"/>
    <s v="Dewasa"/>
    <x v="0"/>
    <x v="0"/>
    <n v="75000"/>
  </r>
  <r>
    <x v="131"/>
    <d v="2026-09-09T00:00:00"/>
    <x v="2"/>
    <x v="1"/>
    <s v="Perempuan"/>
    <s v="Dewasa"/>
    <x v="0"/>
    <x v="0"/>
    <n v="50000"/>
  </r>
  <r>
    <x v="132"/>
    <d v="2026-09-10T00:00:00"/>
    <x v="2"/>
    <x v="1"/>
    <s v="Perempuan"/>
    <s v="Remaja"/>
    <x v="0"/>
    <x v="1"/>
    <n v="0"/>
  </r>
  <r>
    <x v="133"/>
    <d v="2026-09-11T00:00:00"/>
    <x v="2"/>
    <x v="1"/>
    <s v="Perempuan"/>
    <s v="Lansia"/>
    <x v="0"/>
    <x v="0"/>
    <n v="50000"/>
  </r>
  <r>
    <x v="134"/>
    <d v="2026-09-11T00:00:00"/>
    <x v="2"/>
    <x v="1"/>
    <s v="Laki-laki"/>
    <s v="Dewasa"/>
    <x v="1"/>
    <x v="1"/>
    <n v="0"/>
  </r>
  <r>
    <x v="135"/>
    <d v="2026-09-11T00:00:00"/>
    <x v="2"/>
    <x v="1"/>
    <s v="Perempuan"/>
    <s v="Dewasa"/>
    <x v="0"/>
    <x v="0"/>
    <n v="50000"/>
  </r>
  <r>
    <x v="136"/>
    <d v="2026-09-12T00:00:00"/>
    <x v="2"/>
    <x v="2"/>
    <s v="Perempuan"/>
    <s v="Dewasa"/>
    <x v="1"/>
    <x v="0"/>
    <n v="65000"/>
  </r>
  <r>
    <x v="137"/>
    <d v="2026-09-14T00:00:00"/>
    <x v="2"/>
    <x v="1"/>
    <s v="Laki-laki"/>
    <s v="Dewasa"/>
    <x v="0"/>
    <x v="0"/>
    <n v="75000"/>
  </r>
  <r>
    <x v="138"/>
    <d v="2026-09-14T00:00:00"/>
    <x v="2"/>
    <x v="1"/>
    <s v="Laki-laki"/>
    <s v="Dewasa"/>
    <x v="1"/>
    <x v="0"/>
    <n v="75000"/>
  </r>
  <r>
    <x v="139"/>
    <d v="2026-09-14T00:00:00"/>
    <x v="2"/>
    <x v="1"/>
    <s v="Laki-laki"/>
    <s v="Lansia"/>
    <x v="1"/>
    <x v="0"/>
    <n v="75000"/>
  </r>
  <r>
    <x v="140"/>
    <d v="2026-09-14T00:00:00"/>
    <x v="2"/>
    <x v="1"/>
    <s v="Perempuan"/>
    <s v="Dewasa"/>
    <x v="1"/>
    <x v="0"/>
    <n v="75000"/>
  </r>
  <r>
    <x v="141"/>
    <d v="2026-09-15T00:00:00"/>
    <x v="2"/>
    <x v="2"/>
    <s v="Perempuan"/>
    <s v="Dewasa"/>
    <x v="1"/>
    <x v="0"/>
    <n v="90000"/>
  </r>
  <r>
    <x v="142"/>
    <d v="2026-09-15T00:00:00"/>
    <x v="2"/>
    <x v="2"/>
    <s v="Perempuan"/>
    <s v="Dewasa"/>
    <x v="0"/>
    <x v="0"/>
    <n v="90000"/>
  </r>
  <r>
    <x v="143"/>
    <d v="2026-09-15T00:00:00"/>
    <x v="2"/>
    <x v="2"/>
    <s v="Perempuan"/>
    <s v="Dewasa"/>
    <x v="1"/>
    <x v="0"/>
    <n v="65000"/>
  </r>
  <r>
    <x v="144"/>
    <d v="2026-09-16T00:00:00"/>
    <x v="2"/>
    <x v="1"/>
    <s v="Perempuan"/>
    <s v="Remaja"/>
    <x v="1"/>
    <x v="0"/>
    <n v="50000"/>
  </r>
  <r>
    <x v="145"/>
    <d v="2026-09-16T00:00:00"/>
    <x v="2"/>
    <x v="1"/>
    <s v="Perempuan"/>
    <s v="Dewasa"/>
    <x v="1"/>
    <x v="0"/>
    <n v="50000"/>
  </r>
  <r>
    <x v="146"/>
    <d v="2026-09-16T00:00:00"/>
    <x v="2"/>
    <x v="1"/>
    <s v="Laki-laki"/>
    <s v="Dewasa"/>
    <x v="1"/>
    <x v="0"/>
    <n v="50000"/>
  </r>
  <r>
    <x v="147"/>
    <d v="2026-09-16T00:00:00"/>
    <x v="2"/>
    <x v="0"/>
    <s v="Perempuan"/>
    <s v="Anak"/>
    <x v="0"/>
    <x v="0"/>
    <n v="80000"/>
  </r>
  <r>
    <x v="148"/>
    <d v="2026-09-16T00:00:00"/>
    <x v="2"/>
    <x v="2"/>
    <s v="Laki-laki"/>
    <s v="Anak"/>
    <x v="1"/>
    <x v="0"/>
    <n v="65000"/>
  </r>
  <r>
    <x v="149"/>
    <d v="2026-09-17T00:00:00"/>
    <x v="2"/>
    <x v="1"/>
    <s v="Laki-laki"/>
    <s v="Remaja"/>
    <x v="0"/>
    <x v="0"/>
    <n v="75000"/>
  </r>
  <r>
    <x v="150"/>
    <d v="2026-09-17T00:00:00"/>
    <x v="2"/>
    <x v="1"/>
    <s v="Perempuan"/>
    <s v="Dewasa"/>
    <x v="1"/>
    <x v="0"/>
    <n v="75000"/>
  </r>
  <r>
    <x v="151"/>
    <d v="2026-09-17T00:00:00"/>
    <x v="2"/>
    <x v="2"/>
    <s v="Perempuan"/>
    <s v="Anak"/>
    <x v="1"/>
    <x v="0"/>
    <n v="90000"/>
  </r>
  <r>
    <x v="152"/>
    <d v="2026-09-17T00:00:00"/>
    <x v="2"/>
    <x v="0"/>
    <s v="Perempuan"/>
    <s v="Dewasa"/>
    <x v="0"/>
    <x v="0"/>
    <n v="80000"/>
  </r>
  <r>
    <x v="153"/>
    <d v="2026-09-17T00:00:00"/>
    <x v="2"/>
    <x v="2"/>
    <s v="Perempuan"/>
    <s v="Anak"/>
    <x v="1"/>
    <x v="0"/>
    <n v="65000"/>
  </r>
  <r>
    <x v="154"/>
    <d v="2026-09-18T00:00:00"/>
    <x v="2"/>
    <x v="1"/>
    <s v="Perempuan"/>
    <s v="Dewasa"/>
    <x v="0"/>
    <x v="0"/>
    <n v="75000"/>
  </r>
  <r>
    <x v="155"/>
    <d v="2026-09-19T00:00:00"/>
    <x v="2"/>
    <x v="1"/>
    <s v="Laki-laki"/>
    <s v="Lansia"/>
    <x v="0"/>
    <x v="0"/>
    <n v="50000"/>
  </r>
  <r>
    <x v="156"/>
    <d v="2026-09-19T00:00:00"/>
    <x v="2"/>
    <x v="1"/>
    <s v="Perempuan"/>
    <s v="Anak"/>
    <x v="0"/>
    <x v="0"/>
    <n v="75000"/>
  </r>
  <r>
    <x v="157"/>
    <d v="2026-09-21T00:00:00"/>
    <x v="2"/>
    <x v="1"/>
    <s v="Perempuan"/>
    <s v="Dewasa"/>
    <x v="0"/>
    <x v="0"/>
    <n v="50000"/>
  </r>
  <r>
    <x v="158"/>
    <d v="2026-09-21T00:00:00"/>
    <x v="2"/>
    <x v="2"/>
    <s v="Laki-laki"/>
    <s v="Anak"/>
    <x v="1"/>
    <x v="0"/>
    <n v="90000"/>
  </r>
  <r>
    <x v="159"/>
    <d v="2026-09-21T00:00:00"/>
    <x v="2"/>
    <x v="1"/>
    <s v="Laki-laki"/>
    <s v="Dewasa"/>
    <x v="1"/>
    <x v="0"/>
    <n v="75000"/>
  </r>
  <r>
    <x v="160"/>
    <d v="2026-09-22T00:00:00"/>
    <x v="2"/>
    <x v="1"/>
    <s v="Laki-laki"/>
    <s v="Lansia"/>
    <x v="1"/>
    <x v="0"/>
    <n v="75000"/>
  </r>
  <r>
    <x v="161"/>
    <d v="2026-09-22T00:00:00"/>
    <x v="2"/>
    <x v="1"/>
    <s v="Perempuan"/>
    <s v="Lansia"/>
    <x v="1"/>
    <x v="0"/>
    <n v="50000"/>
  </r>
  <r>
    <x v="162"/>
    <d v="2026-09-22T00:00:00"/>
    <x v="2"/>
    <x v="1"/>
    <s v="Perempuan"/>
    <s v="Anak"/>
    <x v="1"/>
    <x v="1"/>
    <n v="0"/>
  </r>
  <r>
    <x v="163"/>
    <d v="2026-09-23T00:00:00"/>
    <x v="2"/>
    <x v="1"/>
    <s v="Laki-laki"/>
    <s v="Remaja"/>
    <x v="1"/>
    <x v="0"/>
    <n v="75000"/>
  </r>
  <r>
    <x v="164"/>
    <d v="2026-09-23T00:00:00"/>
    <x v="2"/>
    <x v="1"/>
    <s v="Perempuan"/>
    <s v="Anak"/>
    <x v="0"/>
    <x v="0"/>
    <n v="50000"/>
  </r>
  <r>
    <x v="165"/>
    <d v="2026-09-23T00:00:00"/>
    <x v="2"/>
    <x v="1"/>
    <s v="Perempuan"/>
    <s v="Dewasa"/>
    <x v="1"/>
    <x v="0"/>
    <n v="50000"/>
  </r>
  <r>
    <x v="166"/>
    <d v="2026-09-23T00:00:00"/>
    <x v="2"/>
    <x v="0"/>
    <s v="Laki-laki"/>
    <s v="Dewasa"/>
    <x v="1"/>
    <x v="0"/>
    <n v="80000"/>
  </r>
  <r>
    <x v="167"/>
    <d v="2026-09-24T00:00:00"/>
    <x v="2"/>
    <x v="1"/>
    <s v="Laki-laki"/>
    <s v="Lansia"/>
    <x v="1"/>
    <x v="0"/>
    <n v="75000"/>
  </r>
  <r>
    <x v="168"/>
    <d v="2026-09-24T00:00:00"/>
    <x v="2"/>
    <x v="2"/>
    <s v="Perempuan"/>
    <s v="Dewasa"/>
    <x v="1"/>
    <x v="0"/>
    <n v="90000"/>
  </r>
  <r>
    <x v="169"/>
    <d v="2026-09-25T00:00:00"/>
    <x v="2"/>
    <x v="2"/>
    <s v="Perempuan"/>
    <s v="Dewasa"/>
    <x v="1"/>
    <x v="0"/>
    <n v="90000"/>
  </r>
  <r>
    <x v="170"/>
    <d v="2026-09-26T00:00:00"/>
    <x v="2"/>
    <x v="1"/>
    <s v="Laki-laki"/>
    <s v="Dewasa"/>
    <x v="0"/>
    <x v="0"/>
    <n v="50000"/>
  </r>
  <r>
    <x v="171"/>
    <d v="2026-09-28T00:00:00"/>
    <x v="2"/>
    <x v="2"/>
    <s v="Perempuan"/>
    <s v="Dewasa"/>
    <x v="0"/>
    <x v="0"/>
    <n v="65000"/>
  </r>
  <r>
    <x v="172"/>
    <d v="2026-09-28T00:00:00"/>
    <x v="2"/>
    <x v="0"/>
    <s v="Laki-laki"/>
    <s v="Dewasa"/>
    <x v="0"/>
    <x v="0"/>
    <n v="80000"/>
  </r>
  <r>
    <x v="173"/>
    <d v="2026-09-29T00:00:00"/>
    <x v="2"/>
    <x v="0"/>
    <s v="Laki-laki"/>
    <s v="Anak"/>
    <x v="0"/>
    <x v="0"/>
    <n v="110000"/>
  </r>
  <r>
    <x v="174"/>
    <d v="2026-09-29T00:00:00"/>
    <x v="2"/>
    <x v="1"/>
    <s v="Perempuan"/>
    <s v="Dewasa"/>
    <x v="1"/>
    <x v="0"/>
    <n v="50000"/>
  </r>
  <r>
    <x v="175"/>
    <d v="2026-09-29T00:00:00"/>
    <x v="2"/>
    <x v="0"/>
    <s v="Laki-laki"/>
    <s v="Dewasa"/>
    <x v="1"/>
    <x v="0"/>
    <n v="80000"/>
  </r>
  <r>
    <x v="176"/>
    <d v="2026-09-29T00:00:00"/>
    <x v="2"/>
    <x v="2"/>
    <s v="Perempuan"/>
    <s v="Dewasa"/>
    <x v="1"/>
    <x v="0"/>
    <n v="65000"/>
  </r>
  <r>
    <x v="177"/>
    <d v="2026-09-30T00:00:00"/>
    <x v="2"/>
    <x v="0"/>
    <s v="Perempuan"/>
    <s v="Dewasa"/>
    <x v="0"/>
    <x v="0"/>
    <n v="110000"/>
  </r>
  <r>
    <x v="178"/>
    <d v="2026-09-30T00:00:00"/>
    <x v="2"/>
    <x v="1"/>
    <s v="Laki-laki"/>
    <s v="Anak"/>
    <x v="1"/>
    <x v="0"/>
    <n v="50000"/>
  </r>
  <r>
    <x v="179"/>
    <d v="2026-09-30T00:00:00"/>
    <x v="2"/>
    <x v="0"/>
    <s v="Perempuan"/>
    <s v="Dewasa"/>
    <x v="0"/>
    <x v="0"/>
    <n v="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4DDC89-9C3C-4E4F-B48D-3E4194DC8D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oli Tujuan">
  <location ref="J14:K18" firstHeaderRow="1" firstDataRow="1" firstDataCol="1" rowPageCount="1" colPageCount="1"/>
  <pivotFields count="9">
    <pivotField showAll="0"/>
    <pivotField numFmtId="164" showAll="0"/>
    <pivotField showAll="0">
      <items count="4">
        <item x="2"/>
        <item x="1"/>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axis="axisPage" showAll="0">
      <items count="3">
        <item x="1"/>
        <item x="0"/>
        <item t="default"/>
      </items>
    </pivotField>
    <pivotField dataField="1" numFmtId="165" showAll="0"/>
  </pivotFields>
  <rowFields count="1">
    <field x="3"/>
  </rowFields>
  <rowItems count="4">
    <i>
      <x v="2"/>
    </i>
    <i>
      <x/>
    </i>
    <i>
      <x v="1"/>
    </i>
    <i t="grand">
      <x/>
    </i>
  </rowItems>
  <colItems count="1">
    <i/>
  </colItems>
  <pageFields count="1">
    <pageField fld="7" item="1" hier="-1"/>
  </pageFields>
  <dataFields count="1">
    <dataField name="Total Nilai Pelayanan" fld="8" baseField="3" baseItem="2" numFmtId="165"/>
  </dataFields>
  <chartFormats count="1">
    <chartFormat chart="2" format="1"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20B824-F47E-4263-93EB-91D2F64CD9B0}" name="ptTrenBulanan" cacheId="0" applyNumberFormats="0" applyBorderFormats="0" applyFontFormats="0" applyPatternFormats="0" applyAlignmentFormats="0" applyWidthHeightFormats="1" dataCaption="Values" grandTotalCaption="Total Kunjungan" updatedVersion="8" minRefreshableVersion="3" useAutoFormatting="1" itemPrintTitles="1" createdVersion="8" indent="0" outline="1" outlineData="1" multipleFieldFilters="0" chartFormat="3" rowHeaderCaption="Bulan" colHeaderCaption="">
  <location ref="E3:I8" firstHeaderRow="1" firstDataRow="2" firstDataCol="1"/>
  <pivotFields count="9">
    <pivotField dataField="1" showAll="0"/>
    <pivotField numFmtId="164" showAll="0"/>
    <pivotField axis="axisRow" showAll="0">
      <items count="4">
        <item x="0"/>
        <item x="1"/>
        <item x="2"/>
        <item t="default"/>
      </items>
    </pivotField>
    <pivotField axis="axisCol" showAll="0">
      <items count="4">
        <item x="0"/>
        <item x="2"/>
        <item x="1"/>
        <item t="default"/>
      </items>
    </pivotField>
    <pivotField showAll="0"/>
    <pivotField showAll="0"/>
    <pivotField showAll="0">
      <items count="3">
        <item x="1"/>
        <item x="0"/>
        <item t="default"/>
      </items>
    </pivotField>
    <pivotField showAll="0"/>
    <pivotField numFmtId="165" showAll="0"/>
  </pivotFields>
  <rowFields count="1">
    <field x="2"/>
  </rowFields>
  <rowItems count="4">
    <i>
      <x/>
    </i>
    <i>
      <x v="1"/>
    </i>
    <i>
      <x v="2"/>
    </i>
    <i t="grand">
      <x/>
    </i>
  </rowItems>
  <colFields count="1">
    <field x="3"/>
  </colFields>
  <colItems count="4">
    <i>
      <x/>
    </i>
    <i>
      <x v="1"/>
    </i>
    <i>
      <x v="2"/>
    </i>
    <i t="grand">
      <x/>
    </i>
  </colItems>
  <dataFields count="1">
    <dataField name="Jumlah Kunjungan" fld="0" subtotal="count" baseField="0" baseItem="0"/>
  </dataFields>
  <formats count="10">
    <format dxfId="9">
      <pivotArea outline="0" collapsedLevelsAreSubtotals="1" fieldPosition="0"/>
    </format>
    <format dxfId="8">
      <pivotArea field="3" type="button" dataOnly="0" labelOnly="1" outline="0" axis="axisCol" fieldPosition="0"/>
    </format>
    <format dxfId="7">
      <pivotArea type="topRight" dataOnly="0" labelOnly="1" outline="0" fieldPosition="0"/>
    </format>
    <format dxfId="6">
      <pivotArea dataOnly="0" labelOnly="1" fieldPosition="0">
        <references count="1">
          <reference field="3" count="0"/>
        </references>
      </pivotArea>
    </format>
    <format dxfId="5">
      <pivotArea dataOnly="0" labelOnly="1" grandCol="1" outline="0" fieldPosition="0"/>
    </format>
    <format dxfId="4">
      <pivotArea outline="0" collapsedLevelsAreSubtotals="1" fieldPosition="0"/>
    </format>
    <format dxfId="3">
      <pivotArea field="3" type="button" dataOnly="0" labelOnly="1" outline="0" axis="axisCol" fieldPosition="0"/>
    </format>
    <format dxfId="2">
      <pivotArea type="topRight" dataOnly="0" labelOnly="1" outline="0" fieldPosition="0"/>
    </format>
    <format dxfId="1">
      <pivotArea dataOnly="0" labelOnly="1" fieldPosition="0">
        <references count="1">
          <reference field="3" count="0"/>
        </references>
      </pivotArea>
    </format>
    <format dxfId="0">
      <pivotArea dataOnly="0" labelOnly="1" grandCol="1" outline="0" fieldPosition="0"/>
    </format>
  </formats>
  <chartFormats count="3">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ACFF94-1C32-4BCD-AE8D-B5C1FECAF614}" name="ptKunjunganPol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oli Tujuan">
  <location ref="A3:B7" firstHeaderRow="1" firstDataRow="1" firstDataCol="1"/>
  <pivotFields count="9">
    <pivotField dataField="1"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umFmtId="164" showAll="0"/>
    <pivotField showAll="0">
      <items count="4">
        <item x="2"/>
        <item x="1"/>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numFmtId="165" showAll="0"/>
  </pivotFields>
  <rowFields count="1">
    <field x="3"/>
  </rowFields>
  <rowItems count="4">
    <i>
      <x v="2"/>
    </i>
    <i>
      <x/>
    </i>
    <i>
      <x v="1"/>
    </i>
    <i t="grand">
      <x/>
    </i>
  </rowItems>
  <colItems count="1">
    <i/>
  </colItems>
  <dataFields count="1">
    <dataField name="Jumlah Kunjungan" fld="0" subtotal="count" baseField="0" baseItem="0"/>
  </dataFields>
  <formats count="2">
    <format dxfId="11">
      <pivotArea dataOnly="0" outline="0" axis="axisValues" fieldPosition="0"/>
    </format>
    <format dxfId="10">
      <pivotArea dataOnly="0"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964D9B-45D2-4F9B-9D6C-613FB5C1A2E3}" name="ptNilaiPelayan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li Tujuan">
  <location ref="F14:H18" firstHeaderRow="0" firstDataRow="1" firstDataCol="1" rowPageCount="1" colPageCount="1"/>
  <pivotFields count="9">
    <pivotField showAll="0"/>
    <pivotField numFmtId="164" showAll="0"/>
    <pivotField showAll="0">
      <items count="4">
        <item x="2"/>
        <item x="1"/>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axis="axisPage" showAll="0">
      <items count="3">
        <item x="1"/>
        <item x="0"/>
        <item t="default"/>
      </items>
    </pivotField>
    <pivotField dataField="1" numFmtId="165" showAll="0"/>
  </pivotFields>
  <rowFields count="1">
    <field x="3"/>
  </rowFields>
  <rowItems count="4">
    <i>
      <x v="2"/>
    </i>
    <i>
      <x/>
    </i>
    <i>
      <x v="1"/>
    </i>
    <i t="grand">
      <x/>
    </i>
  </rowItems>
  <colFields count="1">
    <field x="-2"/>
  </colFields>
  <colItems count="2">
    <i>
      <x/>
    </i>
    <i i="1">
      <x v="1"/>
    </i>
  </colItems>
  <pageFields count="1">
    <pageField fld="7" item="1" hier="-1"/>
  </pageFields>
  <dataFields count="2">
    <dataField name="Total Nilai Pelayanan" fld="8" baseField="3" baseItem="2" numFmtId="165"/>
    <dataField name="Kontribusi (%)" fld="8" showDataAs="percentOfTotal" baseField="3" baseItem="0" numFmtId="1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F2812B-1EFB-4F8D-BC87-0D2105DC55CA}" name="ptJenisPembayar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enis Pembayaran" colHeaderCaption="Status Kunjungan">
  <location ref="A14:D18" firstHeaderRow="1" firstDataRow="2" firstDataCol="1" rowPageCount="1" colPageCount="1"/>
  <pivotFields count="9">
    <pivotField dataField="1" showAll="0"/>
    <pivotField numFmtId="164" showAll="0"/>
    <pivotField showAll="0">
      <items count="4">
        <item x="2"/>
        <item x="1"/>
        <item x="0"/>
        <item t="default"/>
      </items>
    </pivotField>
    <pivotField name="Cari Poli Tujuan" axis="axisPage" showAll="0">
      <items count="4">
        <item x="0"/>
        <item x="2"/>
        <item x="1"/>
        <item t="default"/>
      </items>
    </pivotField>
    <pivotField showAll="0"/>
    <pivotField showAll="0"/>
    <pivotField axis="axisRow" showAll="0">
      <items count="3">
        <item x="1"/>
        <item x="0"/>
        <item t="default"/>
      </items>
    </pivotField>
    <pivotField axis="axisCol" showAll="0">
      <items count="3">
        <item x="1"/>
        <item x="0"/>
        <item t="default"/>
      </items>
    </pivotField>
    <pivotField numFmtId="165" showAll="0"/>
  </pivotFields>
  <rowFields count="1">
    <field x="6"/>
  </rowFields>
  <rowItems count="3">
    <i>
      <x/>
    </i>
    <i>
      <x v="1"/>
    </i>
    <i t="grand">
      <x/>
    </i>
  </rowItems>
  <colFields count="1">
    <field x="7"/>
  </colFields>
  <colItems count="3">
    <i>
      <x/>
    </i>
    <i>
      <x v="1"/>
    </i>
    <i t="grand">
      <x/>
    </i>
  </colItems>
  <pageFields count="1">
    <pageField fld="3" hier="-1"/>
  </pageFields>
  <dataFields count="1">
    <dataField name="Jumlah Kunjungan" fld="0" subtotal="count" baseField="0" baseItem="0"/>
  </dataFields>
  <chartFormats count="2">
    <chartFormat chart="5" format="3" series="1">
      <pivotArea type="data" outline="0" fieldPosition="0">
        <references count="2">
          <reference field="4294967294" count="1" selected="0">
            <x v="0"/>
          </reference>
          <reference field="7" count="1" selected="0">
            <x v="0"/>
          </reference>
        </references>
      </pivotArea>
    </chartFormat>
    <chartFormat chart="5" format="4" series="1">
      <pivotArea type="data" outline="0" fieldPosition="0">
        <references count="2">
          <reference field="4294967294" count="1" selected="0">
            <x v="0"/>
          </reference>
          <reference field="7" count="1" selected="0">
            <x v="1"/>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B83BC8-2641-4D50-92D3-A8A584CE453B}" name="pt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C30" firstHeaderRow="0" firstDataRow="1" firstDataCol="1"/>
  <pivotFields count="9">
    <pivotField dataField="1" showAll="0"/>
    <pivotField numFmtId="164" showAll="0"/>
    <pivotField showAll="0">
      <items count="4">
        <item x="2"/>
        <item x="1"/>
        <item x="0"/>
        <item t="default"/>
      </items>
    </pivotField>
    <pivotField showAll="0">
      <items count="4">
        <item x="0"/>
        <item x="2"/>
        <item x="1"/>
        <item t="default"/>
      </items>
    </pivotField>
    <pivotField showAll="0"/>
    <pivotField showAll="0"/>
    <pivotField showAll="0">
      <items count="3">
        <item x="1"/>
        <item x="0"/>
        <item t="default"/>
      </items>
    </pivotField>
    <pivotField axis="axisRow" showAll="0">
      <items count="3">
        <item x="1"/>
        <item x="0"/>
        <item t="default"/>
      </items>
    </pivotField>
    <pivotField dataField="1" numFmtId="165" showAll="0"/>
  </pivotFields>
  <rowFields count="1">
    <field x="7"/>
  </rowFields>
  <rowItems count="3">
    <i>
      <x/>
    </i>
    <i>
      <x v="1"/>
    </i>
    <i t="grand">
      <x/>
    </i>
  </rowItems>
  <colFields count="1">
    <field x="-2"/>
  </colFields>
  <colItems count="2">
    <i>
      <x/>
    </i>
    <i i="1">
      <x v="1"/>
    </i>
  </colItems>
  <dataFields count="2">
    <dataField name="Jumlah Kunjungan KPI" fld="0" subtotal="count" baseField="7" baseItem="0"/>
    <dataField name="Nilai Pelayanan KPI" fld="8" baseField="7"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66CB1EA2-5AE9-4A3E-A3B3-BB5C895E121B}" sourceName="Bulan">
  <pivotTables>
    <pivotTable tabId="2" name="ptKPI"/>
    <pivotTable tabId="2" name="ptJenisPembayaran"/>
    <pivotTable tabId="2" name="ptKunjunganPoli"/>
    <pivotTable tabId="2" name="ptNilaiPelayanan"/>
    <pivotTable tabId="2" name="ptTrenBulanan"/>
    <pivotTable tabId="2" name="PivotTable2"/>
  </pivotTables>
  <data>
    <tabular pivotCacheId="49096359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_Tujuan" xr10:uid="{B2E0BAAA-B739-4395-BCC8-DBB73222B205}" sourceName="Poli Tujuan">
  <pivotTables>
    <pivotTable tabId="2" name="ptKPI"/>
    <pivotTable tabId="2" name="ptJenisPembayaran"/>
    <pivotTable tabId="2" name="ptKunjunganPoli"/>
    <pivotTable tabId="2" name="ptNilaiPelayanan"/>
    <pivotTable tabId="2" name="ptTrenBulanan"/>
    <pivotTable tabId="2" name="PivotTable2"/>
  </pivotTables>
  <data>
    <tabular pivotCacheId="49096359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Pembayaran" xr10:uid="{572DBA5F-4B55-44A9-BD17-2FA23FC104B8}" sourceName="Jenis Pembayaran">
  <pivotTables>
    <pivotTable tabId="2" name="ptKPI"/>
    <pivotTable tabId="2" name="ptJenisPembayaran"/>
    <pivotTable tabId="2" name="ptKunjunganPoli"/>
    <pivotTable tabId="2" name="ptNilaiPelayanan"/>
    <pivotTable tabId="2" name="ptTrenBulanan"/>
    <pivotTable tabId="2" name="PivotTable2"/>
  </pivotTables>
  <data>
    <tabular pivotCacheId="49096359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xr10:uid="{137081FA-C29D-4ADB-A6F8-CC34A7B6AB70}" cache="Slicer_Bulan" caption="Bulan" columnCount="3" style="SlicerStyleDark4" rowHeight="257175"/>
  <slicer name="Poli Tujuan" xr10:uid="{6CEFB061-D867-4386-9E94-6E2EE8EAD14C}" cache="Slicer_Poli_Tujuan" caption="Poli Tujuan" columnCount="3" style="SlicerStyleDark4" rowHeight="257175"/>
  <slicer name="Jenis Pembayaran" xr10:uid="{98C0F6CC-58EE-4EB9-A092-C26699D4B30C}" cache="Slicer_Jenis_Pembayaran" caption="Jenis Pembayaran" columnCount="2"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A200FB-CD3B-46D9-9C3E-98F262624D2F}" name="tblKunjungan" displayName="tblKunjungan" ref="A1:I181" totalsRowShown="0" headerRowDxfId="14">
  <autoFilter ref="A1:I181" xr:uid="{59A200FB-CD3B-46D9-9C3E-98F262624D2F}"/>
  <tableColumns count="9">
    <tableColumn id="1" xr3:uid="{43A9345A-BB9C-4157-B666-DBA4B58F7926}" name="ID Kunjungan"/>
    <tableColumn id="2" xr3:uid="{472E0DA1-68D3-4715-A828-B53F2EE05141}" name="Tanggal Kunjungan" dataDxfId="13"/>
    <tableColumn id="3" xr3:uid="{51FFCB31-0DBD-430F-8510-F1225C9C187A}" name="Bulan"/>
    <tableColumn id="4" xr3:uid="{D76D5F91-F796-499D-9E8C-331E5DEBFDE3}" name="Poli Tujuan"/>
    <tableColumn id="5" xr3:uid="{12E429E6-22BC-4FDC-BC6C-2E089EE015C9}" name="Jenis Kelamin"/>
    <tableColumn id="6" xr3:uid="{4ED2BA39-5E60-49A9-9EB3-9688E3C234B0}" name="Kelompok Usia"/>
    <tableColumn id="7" xr3:uid="{8F516665-508A-4D3D-9D03-1D97C946DBD6}" name="Jenis Pembayaran"/>
    <tableColumn id="8" xr3:uid="{BB296FC1-00A4-4913-948E-1947BC9BBDAB}" name="Status Kunjungan"/>
    <tableColumn id="9" xr3:uid="{3FC496E6-A184-43D1-9F05-413A87EA5FF8}" name="Biaya Pelayanan"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D4A92-8F48-45C7-A069-F04DAF186161}">
  <dimension ref="A1:L181"/>
  <sheetViews>
    <sheetView topLeftCell="A2" workbookViewId="0">
      <selection activeCell="A2" sqref="A2"/>
    </sheetView>
  </sheetViews>
  <sheetFormatPr defaultRowHeight="15" x14ac:dyDescent="0.25"/>
  <cols>
    <col min="1" max="1" width="15" customWidth="1"/>
    <col min="2" max="2" width="20" customWidth="1"/>
    <col min="3" max="3" width="8.140625" customWidth="1"/>
    <col min="4" max="4" width="20" customWidth="1"/>
    <col min="5" max="5" width="15.42578125" customWidth="1"/>
    <col min="6" max="6" width="16.42578125" customWidth="1"/>
    <col min="7" max="7" width="19.140625" customWidth="1"/>
    <col min="8" max="8" width="18.7109375" customWidth="1"/>
    <col min="9" max="9" width="17.5703125" customWidth="1"/>
    <col min="12" max="12" width="12.85546875" bestFit="1" customWidth="1"/>
  </cols>
  <sheetData>
    <row r="1" spans="1:12" x14ac:dyDescent="0.25">
      <c r="A1" s="1" t="s">
        <v>0</v>
      </c>
      <c r="B1" s="1" t="s">
        <v>1</v>
      </c>
      <c r="C1" s="1" t="s">
        <v>2</v>
      </c>
      <c r="D1" s="1" t="s">
        <v>3</v>
      </c>
      <c r="E1" s="1" t="s">
        <v>4</v>
      </c>
      <c r="F1" s="1" t="s">
        <v>5</v>
      </c>
      <c r="G1" s="1" t="s">
        <v>6</v>
      </c>
      <c r="H1" s="1" t="s">
        <v>7</v>
      </c>
      <c r="I1" s="1" t="s">
        <v>8</v>
      </c>
      <c r="L1">
        <f>COUNTA(A2:A181)</f>
        <v>180</v>
      </c>
    </row>
    <row r="2" spans="1:12" x14ac:dyDescent="0.25">
      <c r="A2" t="s">
        <v>9</v>
      </c>
      <c r="B2" s="2">
        <v>46204</v>
      </c>
      <c r="C2" t="s">
        <v>10</v>
      </c>
      <c r="D2" t="s">
        <v>11</v>
      </c>
      <c r="E2" t="s">
        <v>12</v>
      </c>
      <c r="F2" t="s">
        <v>13</v>
      </c>
      <c r="G2" t="s">
        <v>14</v>
      </c>
      <c r="H2" t="s">
        <v>15</v>
      </c>
      <c r="I2" s="3">
        <v>80000</v>
      </c>
      <c r="L2">
        <f>COUNTIF(H2:H181,"Selesai")</f>
        <v>169</v>
      </c>
    </row>
    <row r="3" spans="1:12" x14ac:dyDescent="0.25">
      <c r="A3" t="s">
        <v>16</v>
      </c>
      <c r="B3" s="2">
        <v>46204</v>
      </c>
      <c r="C3" t="s">
        <v>10</v>
      </c>
      <c r="D3" t="s">
        <v>17</v>
      </c>
      <c r="E3" t="s">
        <v>18</v>
      </c>
      <c r="F3" t="s">
        <v>19</v>
      </c>
      <c r="G3" t="s">
        <v>20</v>
      </c>
      <c r="H3" t="s">
        <v>15</v>
      </c>
      <c r="I3" s="3">
        <v>50000</v>
      </c>
      <c r="L3">
        <f>COUNTIF(H2:H181,"Batal")</f>
        <v>11</v>
      </c>
    </row>
    <row r="4" spans="1:12" x14ac:dyDescent="0.25">
      <c r="A4" t="s">
        <v>21</v>
      </c>
      <c r="B4" s="2">
        <v>46204</v>
      </c>
      <c r="C4" t="s">
        <v>10</v>
      </c>
      <c r="D4" t="s">
        <v>22</v>
      </c>
      <c r="E4" t="s">
        <v>18</v>
      </c>
      <c r="F4" t="s">
        <v>23</v>
      </c>
      <c r="G4" t="s">
        <v>20</v>
      </c>
      <c r="H4" t="s">
        <v>15</v>
      </c>
      <c r="I4" s="3">
        <v>90000</v>
      </c>
      <c r="L4" s="3">
        <f>SUM(I2:I181)</f>
        <v>12520000</v>
      </c>
    </row>
    <row r="5" spans="1:12" x14ac:dyDescent="0.25">
      <c r="A5" t="s">
        <v>24</v>
      </c>
      <c r="B5" s="2">
        <v>46205</v>
      </c>
      <c r="C5" t="s">
        <v>10</v>
      </c>
      <c r="D5" t="s">
        <v>11</v>
      </c>
      <c r="E5" t="s">
        <v>18</v>
      </c>
      <c r="F5" t="s">
        <v>25</v>
      </c>
      <c r="G5" t="s">
        <v>20</v>
      </c>
      <c r="H5" t="s">
        <v>15</v>
      </c>
      <c r="I5" s="3">
        <v>80000</v>
      </c>
    </row>
    <row r="6" spans="1:12" x14ac:dyDescent="0.25">
      <c r="A6" t="s">
        <v>26</v>
      </c>
      <c r="B6" s="2">
        <v>46206</v>
      </c>
      <c r="C6" t="s">
        <v>10</v>
      </c>
      <c r="D6" t="s">
        <v>17</v>
      </c>
      <c r="E6" t="s">
        <v>12</v>
      </c>
      <c r="F6" t="s">
        <v>23</v>
      </c>
      <c r="G6" t="s">
        <v>20</v>
      </c>
      <c r="H6" t="s">
        <v>15</v>
      </c>
      <c r="I6" s="3">
        <v>50000</v>
      </c>
    </row>
    <row r="7" spans="1:12" x14ac:dyDescent="0.25">
      <c r="A7" t="s">
        <v>27</v>
      </c>
      <c r="B7" s="2">
        <v>46206</v>
      </c>
      <c r="C7" t="s">
        <v>10</v>
      </c>
      <c r="D7" t="s">
        <v>11</v>
      </c>
      <c r="E7" t="s">
        <v>12</v>
      </c>
      <c r="F7" t="s">
        <v>23</v>
      </c>
      <c r="G7" t="s">
        <v>14</v>
      </c>
      <c r="H7" t="s">
        <v>15</v>
      </c>
      <c r="I7" s="3">
        <v>110000</v>
      </c>
    </row>
    <row r="8" spans="1:12" x14ac:dyDescent="0.25">
      <c r="A8" t="s">
        <v>28</v>
      </c>
      <c r="B8" s="2">
        <v>46206</v>
      </c>
      <c r="C8" t="s">
        <v>10</v>
      </c>
      <c r="D8" t="s">
        <v>17</v>
      </c>
      <c r="E8" t="s">
        <v>12</v>
      </c>
      <c r="F8" t="s">
        <v>25</v>
      </c>
      <c r="G8" t="s">
        <v>20</v>
      </c>
      <c r="H8" t="s">
        <v>15</v>
      </c>
      <c r="I8" s="3">
        <v>75000</v>
      </c>
    </row>
    <row r="9" spans="1:12" x14ac:dyDescent="0.25">
      <c r="A9" t="s">
        <v>29</v>
      </c>
      <c r="B9" s="2">
        <v>46206</v>
      </c>
      <c r="C9" t="s">
        <v>10</v>
      </c>
      <c r="D9" t="s">
        <v>17</v>
      </c>
      <c r="E9" t="s">
        <v>18</v>
      </c>
      <c r="F9" t="s">
        <v>23</v>
      </c>
      <c r="G9" t="s">
        <v>14</v>
      </c>
      <c r="H9" t="s">
        <v>15</v>
      </c>
      <c r="I9" s="3">
        <v>75000</v>
      </c>
    </row>
    <row r="10" spans="1:12" x14ac:dyDescent="0.25">
      <c r="A10" t="s">
        <v>30</v>
      </c>
      <c r="B10" s="2">
        <v>46206</v>
      </c>
      <c r="C10" t="s">
        <v>10</v>
      </c>
      <c r="D10" t="s">
        <v>17</v>
      </c>
      <c r="E10" t="s">
        <v>18</v>
      </c>
      <c r="F10" t="s">
        <v>23</v>
      </c>
      <c r="G10" t="s">
        <v>20</v>
      </c>
      <c r="H10" t="s">
        <v>15</v>
      </c>
      <c r="I10" s="3">
        <v>50000</v>
      </c>
    </row>
    <row r="11" spans="1:12" x14ac:dyDescent="0.25">
      <c r="A11" t="s">
        <v>31</v>
      </c>
      <c r="B11" s="2">
        <v>46206</v>
      </c>
      <c r="C11" t="s">
        <v>10</v>
      </c>
      <c r="D11" t="s">
        <v>11</v>
      </c>
      <c r="E11" t="s">
        <v>12</v>
      </c>
      <c r="F11" t="s">
        <v>23</v>
      </c>
      <c r="G11" t="s">
        <v>14</v>
      </c>
      <c r="H11" t="s">
        <v>15</v>
      </c>
      <c r="I11" s="3">
        <v>110000</v>
      </c>
    </row>
    <row r="12" spans="1:12" x14ac:dyDescent="0.25">
      <c r="A12" t="s">
        <v>32</v>
      </c>
      <c r="B12" s="2">
        <v>46207</v>
      </c>
      <c r="C12" t="s">
        <v>10</v>
      </c>
      <c r="D12" t="s">
        <v>11</v>
      </c>
      <c r="E12" t="s">
        <v>18</v>
      </c>
      <c r="F12" t="s">
        <v>23</v>
      </c>
      <c r="G12" t="s">
        <v>20</v>
      </c>
      <c r="H12" t="s">
        <v>15</v>
      </c>
      <c r="I12" s="3">
        <v>80000</v>
      </c>
    </row>
    <row r="13" spans="1:12" x14ac:dyDescent="0.25">
      <c r="A13" t="s">
        <v>33</v>
      </c>
      <c r="B13" s="2">
        <v>46207</v>
      </c>
      <c r="C13" t="s">
        <v>10</v>
      </c>
      <c r="D13" t="s">
        <v>17</v>
      </c>
      <c r="E13" t="s">
        <v>18</v>
      </c>
      <c r="F13" t="s">
        <v>25</v>
      </c>
      <c r="G13" t="s">
        <v>20</v>
      </c>
      <c r="H13" t="s">
        <v>15</v>
      </c>
      <c r="I13" s="3">
        <v>75000</v>
      </c>
    </row>
    <row r="14" spans="1:12" x14ac:dyDescent="0.25">
      <c r="A14" t="s">
        <v>34</v>
      </c>
      <c r="B14" s="2">
        <v>46207</v>
      </c>
      <c r="C14" t="s">
        <v>10</v>
      </c>
      <c r="D14" t="s">
        <v>17</v>
      </c>
      <c r="E14" t="s">
        <v>12</v>
      </c>
      <c r="F14" t="s">
        <v>23</v>
      </c>
      <c r="G14" t="s">
        <v>20</v>
      </c>
      <c r="H14" t="s">
        <v>15</v>
      </c>
      <c r="I14" s="3">
        <v>50000</v>
      </c>
    </row>
    <row r="15" spans="1:12" x14ac:dyDescent="0.25">
      <c r="A15" t="s">
        <v>35</v>
      </c>
      <c r="B15" s="2">
        <v>46207</v>
      </c>
      <c r="C15" t="s">
        <v>10</v>
      </c>
      <c r="D15" t="s">
        <v>17</v>
      </c>
      <c r="E15" t="s">
        <v>12</v>
      </c>
      <c r="F15" t="s">
        <v>23</v>
      </c>
      <c r="G15" t="s">
        <v>14</v>
      </c>
      <c r="H15" t="s">
        <v>15</v>
      </c>
      <c r="I15" s="3">
        <v>50000</v>
      </c>
    </row>
    <row r="16" spans="1:12" x14ac:dyDescent="0.25">
      <c r="A16" t="s">
        <v>36</v>
      </c>
      <c r="B16" s="2">
        <v>46207</v>
      </c>
      <c r="C16" t="s">
        <v>10</v>
      </c>
      <c r="D16" t="s">
        <v>17</v>
      </c>
      <c r="E16" t="s">
        <v>12</v>
      </c>
      <c r="F16" t="s">
        <v>23</v>
      </c>
      <c r="G16" t="s">
        <v>20</v>
      </c>
      <c r="H16" t="s">
        <v>15</v>
      </c>
      <c r="I16" s="3">
        <v>75000</v>
      </c>
    </row>
    <row r="17" spans="1:9" x14ac:dyDescent="0.25">
      <c r="A17" t="s">
        <v>37</v>
      </c>
      <c r="B17" s="2">
        <v>46207</v>
      </c>
      <c r="C17" t="s">
        <v>10</v>
      </c>
      <c r="D17" t="s">
        <v>17</v>
      </c>
      <c r="E17" t="s">
        <v>18</v>
      </c>
      <c r="F17" t="s">
        <v>23</v>
      </c>
      <c r="G17" t="s">
        <v>14</v>
      </c>
      <c r="H17" t="s">
        <v>15</v>
      </c>
      <c r="I17" s="3">
        <v>50000</v>
      </c>
    </row>
    <row r="18" spans="1:9" x14ac:dyDescent="0.25">
      <c r="A18" t="s">
        <v>38</v>
      </c>
      <c r="B18" s="2">
        <v>46209</v>
      </c>
      <c r="C18" t="s">
        <v>10</v>
      </c>
      <c r="D18" t="s">
        <v>11</v>
      </c>
      <c r="E18" t="s">
        <v>18</v>
      </c>
      <c r="F18" t="s">
        <v>23</v>
      </c>
      <c r="G18" t="s">
        <v>14</v>
      </c>
      <c r="H18" t="s">
        <v>15</v>
      </c>
      <c r="I18" s="3">
        <v>80000</v>
      </c>
    </row>
    <row r="19" spans="1:9" x14ac:dyDescent="0.25">
      <c r="A19" t="s">
        <v>39</v>
      </c>
      <c r="B19" s="2">
        <v>46210</v>
      </c>
      <c r="C19" t="s">
        <v>10</v>
      </c>
      <c r="D19" t="s">
        <v>17</v>
      </c>
      <c r="E19" t="s">
        <v>12</v>
      </c>
      <c r="F19" t="s">
        <v>23</v>
      </c>
      <c r="G19" t="s">
        <v>20</v>
      </c>
      <c r="H19" t="s">
        <v>15</v>
      </c>
      <c r="I19" s="3">
        <v>50000</v>
      </c>
    </row>
    <row r="20" spans="1:9" x14ac:dyDescent="0.25">
      <c r="A20" t="s">
        <v>40</v>
      </c>
      <c r="B20" s="2">
        <v>46211</v>
      </c>
      <c r="C20" t="s">
        <v>10</v>
      </c>
      <c r="D20" t="s">
        <v>11</v>
      </c>
      <c r="E20" t="s">
        <v>12</v>
      </c>
      <c r="F20" t="s">
        <v>23</v>
      </c>
      <c r="G20" t="s">
        <v>20</v>
      </c>
      <c r="H20" t="s">
        <v>15</v>
      </c>
      <c r="I20" s="3">
        <v>110000</v>
      </c>
    </row>
    <row r="21" spans="1:9" x14ac:dyDescent="0.25">
      <c r="A21" t="s">
        <v>41</v>
      </c>
      <c r="B21" s="2">
        <v>46213</v>
      </c>
      <c r="C21" t="s">
        <v>10</v>
      </c>
      <c r="D21" t="s">
        <v>17</v>
      </c>
      <c r="E21" t="s">
        <v>12</v>
      </c>
      <c r="F21" t="s">
        <v>23</v>
      </c>
      <c r="G21" t="s">
        <v>20</v>
      </c>
      <c r="H21" t="s">
        <v>15</v>
      </c>
      <c r="I21" s="3">
        <v>50000</v>
      </c>
    </row>
    <row r="22" spans="1:9" x14ac:dyDescent="0.25">
      <c r="A22" t="s">
        <v>42</v>
      </c>
      <c r="B22" s="2">
        <v>46213</v>
      </c>
      <c r="C22" t="s">
        <v>10</v>
      </c>
      <c r="D22" t="s">
        <v>11</v>
      </c>
      <c r="E22" t="s">
        <v>12</v>
      </c>
      <c r="F22" t="s">
        <v>13</v>
      </c>
      <c r="G22" t="s">
        <v>20</v>
      </c>
      <c r="H22" t="s">
        <v>15</v>
      </c>
      <c r="I22" s="3">
        <v>110000</v>
      </c>
    </row>
    <row r="23" spans="1:9" x14ac:dyDescent="0.25">
      <c r="A23" t="s">
        <v>43</v>
      </c>
      <c r="B23" s="2">
        <v>46214</v>
      </c>
      <c r="C23" t="s">
        <v>10</v>
      </c>
      <c r="D23" t="s">
        <v>17</v>
      </c>
      <c r="E23" t="s">
        <v>18</v>
      </c>
      <c r="F23" t="s">
        <v>23</v>
      </c>
      <c r="G23" t="s">
        <v>14</v>
      </c>
      <c r="H23" t="s">
        <v>15</v>
      </c>
      <c r="I23" s="3">
        <v>75000</v>
      </c>
    </row>
    <row r="24" spans="1:9" x14ac:dyDescent="0.25">
      <c r="A24" t="s">
        <v>44</v>
      </c>
      <c r="B24" s="2">
        <v>46214</v>
      </c>
      <c r="C24" t="s">
        <v>10</v>
      </c>
      <c r="D24" t="s">
        <v>11</v>
      </c>
      <c r="E24" t="s">
        <v>18</v>
      </c>
      <c r="F24" t="s">
        <v>25</v>
      </c>
      <c r="G24" t="s">
        <v>20</v>
      </c>
      <c r="H24" t="s">
        <v>15</v>
      </c>
      <c r="I24" s="3">
        <v>80000</v>
      </c>
    </row>
    <row r="25" spans="1:9" x14ac:dyDescent="0.25">
      <c r="A25" t="s">
        <v>45</v>
      </c>
      <c r="B25" s="2">
        <v>46217</v>
      </c>
      <c r="C25" t="s">
        <v>10</v>
      </c>
      <c r="D25" t="s">
        <v>11</v>
      </c>
      <c r="E25" t="s">
        <v>18</v>
      </c>
      <c r="F25" t="s">
        <v>23</v>
      </c>
      <c r="G25" t="s">
        <v>20</v>
      </c>
      <c r="H25" t="s">
        <v>15</v>
      </c>
      <c r="I25" s="3">
        <v>80000</v>
      </c>
    </row>
    <row r="26" spans="1:9" x14ac:dyDescent="0.25">
      <c r="A26" t="s">
        <v>46</v>
      </c>
      <c r="B26" s="2">
        <v>46217</v>
      </c>
      <c r="C26" t="s">
        <v>10</v>
      </c>
      <c r="D26" t="s">
        <v>22</v>
      </c>
      <c r="E26" t="s">
        <v>18</v>
      </c>
      <c r="F26" t="s">
        <v>23</v>
      </c>
      <c r="G26" t="s">
        <v>14</v>
      </c>
      <c r="H26" t="s">
        <v>15</v>
      </c>
      <c r="I26" s="3">
        <v>65000</v>
      </c>
    </row>
    <row r="27" spans="1:9" x14ac:dyDescent="0.25">
      <c r="A27" t="s">
        <v>47</v>
      </c>
      <c r="B27" s="2">
        <v>46218</v>
      </c>
      <c r="C27" t="s">
        <v>10</v>
      </c>
      <c r="D27" t="s">
        <v>11</v>
      </c>
      <c r="E27" t="s">
        <v>12</v>
      </c>
      <c r="F27" t="s">
        <v>19</v>
      </c>
      <c r="G27" t="s">
        <v>14</v>
      </c>
      <c r="H27" t="s">
        <v>15</v>
      </c>
      <c r="I27" s="3">
        <v>80000</v>
      </c>
    </row>
    <row r="28" spans="1:9" x14ac:dyDescent="0.25">
      <c r="A28" t="s">
        <v>48</v>
      </c>
      <c r="B28" s="2">
        <v>46218</v>
      </c>
      <c r="C28" t="s">
        <v>10</v>
      </c>
      <c r="D28" t="s">
        <v>11</v>
      </c>
      <c r="E28" t="s">
        <v>18</v>
      </c>
      <c r="F28" t="s">
        <v>13</v>
      </c>
      <c r="G28" t="s">
        <v>20</v>
      </c>
      <c r="H28" t="s">
        <v>15</v>
      </c>
      <c r="I28" s="3">
        <v>110000</v>
      </c>
    </row>
    <row r="29" spans="1:9" x14ac:dyDescent="0.25">
      <c r="A29" t="s">
        <v>49</v>
      </c>
      <c r="B29" s="2">
        <v>46220</v>
      </c>
      <c r="C29" t="s">
        <v>10</v>
      </c>
      <c r="D29" t="s">
        <v>17</v>
      </c>
      <c r="E29" t="s">
        <v>12</v>
      </c>
      <c r="F29" t="s">
        <v>23</v>
      </c>
      <c r="G29" t="s">
        <v>20</v>
      </c>
      <c r="H29" t="s">
        <v>15</v>
      </c>
      <c r="I29" s="3">
        <v>75000</v>
      </c>
    </row>
    <row r="30" spans="1:9" x14ac:dyDescent="0.25">
      <c r="A30" t="s">
        <v>50</v>
      </c>
      <c r="B30" s="2">
        <v>46221</v>
      </c>
      <c r="C30" t="s">
        <v>10</v>
      </c>
      <c r="D30" t="s">
        <v>17</v>
      </c>
      <c r="E30" t="s">
        <v>18</v>
      </c>
      <c r="F30" t="s">
        <v>25</v>
      </c>
      <c r="G30" t="s">
        <v>20</v>
      </c>
      <c r="H30" t="s">
        <v>15</v>
      </c>
      <c r="I30" s="3">
        <v>50000</v>
      </c>
    </row>
    <row r="31" spans="1:9" x14ac:dyDescent="0.25">
      <c r="A31" t="s">
        <v>51</v>
      </c>
      <c r="B31" s="2">
        <v>46223</v>
      </c>
      <c r="C31" t="s">
        <v>10</v>
      </c>
      <c r="D31" t="s">
        <v>17</v>
      </c>
      <c r="E31" t="s">
        <v>12</v>
      </c>
      <c r="F31" t="s">
        <v>25</v>
      </c>
      <c r="G31" t="s">
        <v>14</v>
      </c>
      <c r="H31" t="s">
        <v>15</v>
      </c>
      <c r="I31" s="3">
        <v>75000</v>
      </c>
    </row>
    <row r="32" spans="1:9" x14ac:dyDescent="0.25">
      <c r="A32" t="s">
        <v>52</v>
      </c>
      <c r="B32" s="2">
        <v>46224</v>
      </c>
      <c r="C32" t="s">
        <v>10</v>
      </c>
      <c r="D32" t="s">
        <v>11</v>
      </c>
      <c r="E32" t="s">
        <v>18</v>
      </c>
      <c r="F32" t="s">
        <v>23</v>
      </c>
      <c r="G32" t="s">
        <v>20</v>
      </c>
      <c r="H32" t="s">
        <v>15</v>
      </c>
      <c r="I32" s="3">
        <v>110000</v>
      </c>
    </row>
    <row r="33" spans="1:9" x14ac:dyDescent="0.25">
      <c r="A33" t="s">
        <v>53</v>
      </c>
      <c r="B33" s="2">
        <v>46224</v>
      </c>
      <c r="C33" t="s">
        <v>10</v>
      </c>
      <c r="D33" t="s">
        <v>17</v>
      </c>
      <c r="E33" t="s">
        <v>12</v>
      </c>
      <c r="F33" t="s">
        <v>23</v>
      </c>
      <c r="G33" t="s">
        <v>14</v>
      </c>
      <c r="H33" t="s">
        <v>15</v>
      </c>
      <c r="I33" s="3">
        <v>50000</v>
      </c>
    </row>
    <row r="34" spans="1:9" x14ac:dyDescent="0.25">
      <c r="A34" t="s">
        <v>54</v>
      </c>
      <c r="B34" s="2">
        <v>46224</v>
      </c>
      <c r="C34" t="s">
        <v>10</v>
      </c>
      <c r="D34" t="s">
        <v>22</v>
      </c>
      <c r="E34" t="s">
        <v>18</v>
      </c>
      <c r="F34" t="s">
        <v>23</v>
      </c>
      <c r="G34" t="s">
        <v>14</v>
      </c>
      <c r="H34" t="s">
        <v>15</v>
      </c>
      <c r="I34" s="3">
        <v>65000</v>
      </c>
    </row>
    <row r="35" spans="1:9" x14ac:dyDescent="0.25">
      <c r="A35" t="s">
        <v>55</v>
      </c>
      <c r="B35" s="2">
        <v>46225</v>
      </c>
      <c r="C35" t="s">
        <v>10</v>
      </c>
      <c r="D35" t="s">
        <v>17</v>
      </c>
      <c r="E35" t="s">
        <v>18</v>
      </c>
      <c r="F35" t="s">
        <v>13</v>
      </c>
      <c r="G35" t="s">
        <v>20</v>
      </c>
      <c r="H35" t="s">
        <v>15</v>
      </c>
      <c r="I35" s="3">
        <v>75000</v>
      </c>
    </row>
    <row r="36" spans="1:9" x14ac:dyDescent="0.25">
      <c r="A36" t="s">
        <v>56</v>
      </c>
      <c r="B36" s="2">
        <v>46225</v>
      </c>
      <c r="C36" t="s">
        <v>10</v>
      </c>
      <c r="D36" t="s">
        <v>17</v>
      </c>
      <c r="E36" t="s">
        <v>18</v>
      </c>
      <c r="F36" t="s">
        <v>19</v>
      </c>
      <c r="G36" t="s">
        <v>14</v>
      </c>
      <c r="H36" t="s">
        <v>15</v>
      </c>
      <c r="I36" s="3">
        <v>75000</v>
      </c>
    </row>
    <row r="37" spans="1:9" x14ac:dyDescent="0.25">
      <c r="A37" t="s">
        <v>57</v>
      </c>
      <c r="B37" s="2">
        <v>46226</v>
      </c>
      <c r="C37" t="s">
        <v>10</v>
      </c>
      <c r="D37" t="s">
        <v>17</v>
      </c>
      <c r="E37" t="s">
        <v>18</v>
      </c>
      <c r="F37" t="s">
        <v>19</v>
      </c>
      <c r="G37" t="s">
        <v>20</v>
      </c>
      <c r="H37" t="s">
        <v>15</v>
      </c>
      <c r="I37" s="3">
        <v>75000</v>
      </c>
    </row>
    <row r="38" spans="1:9" x14ac:dyDescent="0.25">
      <c r="A38" t="s">
        <v>58</v>
      </c>
      <c r="B38" s="2">
        <v>46226</v>
      </c>
      <c r="C38" t="s">
        <v>10</v>
      </c>
      <c r="D38" t="s">
        <v>11</v>
      </c>
      <c r="E38" t="s">
        <v>12</v>
      </c>
      <c r="F38" t="s">
        <v>23</v>
      </c>
      <c r="G38" t="s">
        <v>20</v>
      </c>
      <c r="H38" t="s">
        <v>15</v>
      </c>
      <c r="I38" s="3">
        <v>110000</v>
      </c>
    </row>
    <row r="39" spans="1:9" x14ac:dyDescent="0.25">
      <c r="A39" t="s">
        <v>59</v>
      </c>
      <c r="B39" s="2">
        <v>46227</v>
      </c>
      <c r="C39" t="s">
        <v>10</v>
      </c>
      <c r="D39" t="s">
        <v>11</v>
      </c>
      <c r="E39" t="s">
        <v>12</v>
      </c>
      <c r="F39" t="s">
        <v>19</v>
      </c>
      <c r="G39" t="s">
        <v>20</v>
      </c>
      <c r="H39" t="s">
        <v>60</v>
      </c>
      <c r="I39" s="3">
        <v>0</v>
      </c>
    </row>
    <row r="40" spans="1:9" x14ac:dyDescent="0.25">
      <c r="A40" t="s">
        <v>61</v>
      </c>
      <c r="B40" s="2">
        <v>46227</v>
      </c>
      <c r="C40" t="s">
        <v>10</v>
      </c>
      <c r="D40" t="s">
        <v>22</v>
      </c>
      <c r="E40" t="s">
        <v>18</v>
      </c>
      <c r="F40" t="s">
        <v>23</v>
      </c>
      <c r="G40" t="s">
        <v>14</v>
      </c>
      <c r="H40" t="s">
        <v>15</v>
      </c>
      <c r="I40" s="3">
        <v>90000</v>
      </c>
    </row>
    <row r="41" spans="1:9" x14ac:dyDescent="0.25">
      <c r="A41" t="s">
        <v>62</v>
      </c>
      <c r="B41" s="2">
        <v>46228</v>
      </c>
      <c r="C41" t="s">
        <v>10</v>
      </c>
      <c r="D41" t="s">
        <v>22</v>
      </c>
      <c r="E41" t="s">
        <v>12</v>
      </c>
      <c r="F41" t="s">
        <v>13</v>
      </c>
      <c r="G41" t="s">
        <v>14</v>
      </c>
      <c r="H41" t="s">
        <v>15</v>
      </c>
      <c r="I41" s="3">
        <v>65000</v>
      </c>
    </row>
    <row r="42" spans="1:9" x14ac:dyDescent="0.25">
      <c r="A42" t="s">
        <v>63</v>
      </c>
      <c r="B42" s="2">
        <v>46228</v>
      </c>
      <c r="C42" t="s">
        <v>10</v>
      </c>
      <c r="D42" t="s">
        <v>22</v>
      </c>
      <c r="E42" t="s">
        <v>18</v>
      </c>
      <c r="F42" t="s">
        <v>23</v>
      </c>
      <c r="G42" t="s">
        <v>20</v>
      </c>
      <c r="H42" t="s">
        <v>60</v>
      </c>
      <c r="I42" s="3">
        <v>0</v>
      </c>
    </row>
    <row r="43" spans="1:9" x14ac:dyDescent="0.25">
      <c r="A43" t="s">
        <v>64</v>
      </c>
      <c r="B43" s="2">
        <v>46230</v>
      </c>
      <c r="C43" t="s">
        <v>10</v>
      </c>
      <c r="D43" t="s">
        <v>17</v>
      </c>
      <c r="E43" t="s">
        <v>18</v>
      </c>
      <c r="F43" t="s">
        <v>23</v>
      </c>
      <c r="G43" t="s">
        <v>14</v>
      </c>
      <c r="H43" t="s">
        <v>15</v>
      </c>
      <c r="I43" s="3">
        <v>75000</v>
      </c>
    </row>
    <row r="44" spans="1:9" x14ac:dyDescent="0.25">
      <c r="A44" t="s">
        <v>65</v>
      </c>
      <c r="B44" s="2">
        <v>46230</v>
      </c>
      <c r="C44" t="s">
        <v>10</v>
      </c>
      <c r="D44" t="s">
        <v>11</v>
      </c>
      <c r="E44" t="s">
        <v>12</v>
      </c>
      <c r="F44" t="s">
        <v>25</v>
      </c>
      <c r="G44" t="s">
        <v>20</v>
      </c>
      <c r="H44" t="s">
        <v>15</v>
      </c>
      <c r="I44" s="3">
        <v>80000</v>
      </c>
    </row>
    <row r="45" spans="1:9" x14ac:dyDescent="0.25">
      <c r="A45" t="s">
        <v>66</v>
      </c>
      <c r="B45" s="2">
        <v>46231</v>
      </c>
      <c r="C45" t="s">
        <v>10</v>
      </c>
      <c r="D45" t="s">
        <v>11</v>
      </c>
      <c r="E45" t="s">
        <v>12</v>
      </c>
      <c r="F45" t="s">
        <v>25</v>
      </c>
      <c r="G45" t="s">
        <v>20</v>
      </c>
      <c r="H45" t="s">
        <v>15</v>
      </c>
      <c r="I45" s="3">
        <v>80000</v>
      </c>
    </row>
    <row r="46" spans="1:9" x14ac:dyDescent="0.25">
      <c r="A46" t="s">
        <v>67</v>
      </c>
      <c r="B46" s="2">
        <v>46231</v>
      </c>
      <c r="C46" t="s">
        <v>10</v>
      </c>
      <c r="D46" t="s">
        <v>17</v>
      </c>
      <c r="E46" t="s">
        <v>18</v>
      </c>
      <c r="F46" t="s">
        <v>23</v>
      </c>
      <c r="G46" t="s">
        <v>20</v>
      </c>
      <c r="H46" t="s">
        <v>15</v>
      </c>
      <c r="I46" s="3">
        <v>50000</v>
      </c>
    </row>
    <row r="47" spans="1:9" x14ac:dyDescent="0.25">
      <c r="A47" t="s">
        <v>68</v>
      </c>
      <c r="B47" s="2">
        <v>46231</v>
      </c>
      <c r="C47" t="s">
        <v>10</v>
      </c>
      <c r="D47" t="s">
        <v>17</v>
      </c>
      <c r="E47" t="s">
        <v>18</v>
      </c>
      <c r="F47" t="s">
        <v>23</v>
      </c>
      <c r="G47" t="s">
        <v>20</v>
      </c>
      <c r="H47" t="s">
        <v>15</v>
      </c>
      <c r="I47" s="3">
        <v>75000</v>
      </c>
    </row>
    <row r="48" spans="1:9" x14ac:dyDescent="0.25">
      <c r="A48" t="s">
        <v>69</v>
      </c>
      <c r="B48" s="2">
        <v>46232</v>
      </c>
      <c r="C48" t="s">
        <v>10</v>
      </c>
      <c r="D48" t="s">
        <v>17</v>
      </c>
      <c r="E48" t="s">
        <v>18</v>
      </c>
      <c r="F48" t="s">
        <v>23</v>
      </c>
      <c r="G48" t="s">
        <v>20</v>
      </c>
      <c r="H48" t="s">
        <v>15</v>
      </c>
      <c r="I48" s="3">
        <v>75000</v>
      </c>
    </row>
    <row r="49" spans="1:9" x14ac:dyDescent="0.25">
      <c r="A49" t="s">
        <v>70</v>
      </c>
      <c r="B49" s="2">
        <v>46232</v>
      </c>
      <c r="C49" t="s">
        <v>10</v>
      </c>
      <c r="D49" t="s">
        <v>11</v>
      </c>
      <c r="E49" t="s">
        <v>12</v>
      </c>
      <c r="F49" t="s">
        <v>25</v>
      </c>
      <c r="G49" t="s">
        <v>14</v>
      </c>
      <c r="H49" t="s">
        <v>15</v>
      </c>
      <c r="I49" s="3">
        <v>80000</v>
      </c>
    </row>
    <row r="50" spans="1:9" x14ac:dyDescent="0.25">
      <c r="A50" t="s">
        <v>71</v>
      </c>
      <c r="B50" s="2">
        <v>46232</v>
      </c>
      <c r="C50" t="s">
        <v>10</v>
      </c>
      <c r="D50" t="s">
        <v>22</v>
      </c>
      <c r="E50" t="s">
        <v>18</v>
      </c>
      <c r="F50" t="s">
        <v>23</v>
      </c>
      <c r="G50" t="s">
        <v>14</v>
      </c>
      <c r="H50" t="s">
        <v>15</v>
      </c>
      <c r="I50" s="3">
        <v>90000</v>
      </c>
    </row>
    <row r="51" spans="1:9" x14ac:dyDescent="0.25">
      <c r="A51" t="s">
        <v>72</v>
      </c>
      <c r="B51" s="2">
        <v>46232</v>
      </c>
      <c r="C51" t="s">
        <v>10</v>
      </c>
      <c r="D51" t="s">
        <v>11</v>
      </c>
      <c r="E51" t="s">
        <v>18</v>
      </c>
      <c r="F51" t="s">
        <v>13</v>
      </c>
      <c r="G51" t="s">
        <v>14</v>
      </c>
      <c r="H51" t="s">
        <v>15</v>
      </c>
      <c r="I51" s="3">
        <v>110000</v>
      </c>
    </row>
    <row r="52" spans="1:9" x14ac:dyDescent="0.25">
      <c r="A52" t="s">
        <v>73</v>
      </c>
      <c r="B52" s="2">
        <v>46232</v>
      </c>
      <c r="C52" t="s">
        <v>10</v>
      </c>
      <c r="D52" t="s">
        <v>22</v>
      </c>
      <c r="E52" t="s">
        <v>18</v>
      </c>
      <c r="F52" t="s">
        <v>13</v>
      </c>
      <c r="G52" t="s">
        <v>20</v>
      </c>
      <c r="H52" t="s">
        <v>15</v>
      </c>
      <c r="I52" s="3">
        <v>65000</v>
      </c>
    </row>
    <row r="53" spans="1:9" x14ac:dyDescent="0.25">
      <c r="A53" t="s">
        <v>74</v>
      </c>
      <c r="B53" s="2">
        <v>46233</v>
      </c>
      <c r="C53" t="s">
        <v>10</v>
      </c>
      <c r="D53" t="s">
        <v>17</v>
      </c>
      <c r="E53" t="s">
        <v>18</v>
      </c>
      <c r="F53" t="s">
        <v>23</v>
      </c>
      <c r="G53" t="s">
        <v>14</v>
      </c>
      <c r="H53" t="s">
        <v>15</v>
      </c>
      <c r="I53" s="3">
        <v>50000</v>
      </c>
    </row>
    <row r="54" spans="1:9" x14ac:dyDescent="0.25">
      <c r="A54" t="s">
        <v>75</v>
      </c>
      <c r="B54" s="2">
        <v>46233</v>
      </c>
      <c r="C54" t="s">
        <v>10</v>
      </c>
      <c r="D54" t="s">
        <v>22</v>
      </c>
      <c r="E54" t="s">
        <v>18</v>
      </c>
      <c r="F54" t="s">
        <v>23</v>
      </c>
      <c r="G54" t="s">
        <v>20</v>
      </c>
      <c r="H54" t="s">
        <v>15</v>
      </c>
      <c r="I54" s="3">
        <v>65000</v>
      </c>
    </row>
    <row r="55" spans="1:9" x14ac:dyDescent="0.25">
      <c r="A55" t="s">
        <v>76</v>
      </c>
      <c r="B55" s="2">
        <v>46233</v>
      </c>
      <c r="C55" t="s">
        <v>10</v>
      </c>
      <c r="D55" t="s">
        <v>17</v>
      </c>
      <c r="E55" t="s">
        <v>12</v>
      </c>
      <c r="F55" t="s">
        <v>23</v>
      </c>
      <c r="G55" t="s">
        <v>14</v>
      </c>
      <c r="H55" t="s">
        <v>15</v>
      </c>
      <c r="I55" s="3">
        <v>50000</v>
      </c>
    </row>
    <row r="56" spans="1:9" x14ac:dyDescent="0.25">
      <c r="A56" t="s">
        <v>77</v>
      </c>
      <c r="B56" s="2">
        <v>46233</v>
      </c>
      <c r="C56" t="s">
        <v>10</v>
      </c>
      <c r="D56" t="s">
        <v>11</v>
      </c>
      <c r="E56" t="s">
        <v>18</v>
      </c>
      <c r="F56" t="s">
        <v>23</v>
      </c>
      <c r="G56" t="s">
        <v>20</v>
      </c>
      <c r="H56" t="s">
        <v>15</v>
      </c>
      <c r="I56" s="3">
        <v>80000</v>
      </c>
    </row>
    <row r="57" spans="1:9" x14ac:dyDescent="0.25">
      <c r="A57" t="s">
        <v>78</v>
      </c>
      <c r="B57" s="2">
        <v>46235</v>
      </c>
      <c r="C57" t="s">
        <v>79</v>
      </c>
      <c r="D57" t="s">
        <v>17</v>
      </c>
      <c r="E57" t="s">
        <v>18</v>
      </c>
      <c r="F57" t="s">
        <v>23</v>
      </c>
      <c r="G57" t="s">
        <v>20</v>
      </c>
      <c r="H57" t="s">
        <v>15</v>
      </c>
      <c r="I57" s="3">
        <v>75000</v>
      </c>
    </row>
    <row r="58" spans="1:9" x14ac:dyDescent="0.25">
      <c r="A58" t="s">
        <v>80</v>
      </c>
      <c r="B58" s="2">
        <v>46237</v>
      </c>
      <c r="C58" t="s">
        <v>79</v>
      </c>
      <c r="D58" t="s">
        <v>22</v>
      </c>
      <c r="E58" t="s">
        <v>18</v>
      </c>
      <c r="F58" t="s">
        <v>23</v>
      </c>
      <c r="G58" t="s">
        <v>20</v>
      </c>
      <c r="H58" t="s">
        <v>15</v>
      </c>
      <c r="I58" s="3">
        <v>90000</v>
      </c>
    </row>
    <row r="59" spans="1:9" x14ac:dyDescent="0.25">
      <c r="A59" t="s">
        <v>81</v>
      </c>
      <c r="B59" s="2">
        <v>46237</v>
      </c>
      <c r="C59" t="s">
        <v>79</v>
      </c>
      <c r="D59" t="s">
        <v>11</v>
      </c>
      <c r="E59" t="s">
        <v>18</v>
      </c>
      <c r="F59" t="s">
        <v>25</v>
      </c>
      <c r="G59" t="s">
        <v>14</v>
      </c>
      <c r="H59" t="s">
        <v>15</v>
      </c>
      <c r="I59" s="3">
        <v>110000</v>
      </c>
    </row>
    <row r="60" spans="1:9" x14ac:dyDescent="0.25">
      <c r="A60" t="s">
        <v>82</v>
      </c>
      <c r="B60" s="2">
        <v>46238</v>
      </c>
      <c r="C60" t="s">
        <v>79</v>
      </c>
      <c r="D60" t="s">
        <v>17</v>
      </c>
      <c r="E60" t="s">
        <v>18</v>
      </c>
      <c r="F60" t="s">
        <v>25</v>
      </c>
      <c r="G60" t="s">
        <v>20</v>
      </c>
      <c r="H60" t="s">
        <v>15</v>
      </c>
      <c r="I60" s="3">
        <v>75000</v>
      </c>
    </row>
    <row r="61" spans="1:9" x14ac:dyDescent="0.25">
      <c r="A61" t="s">
        <v>83</v>
      </c>
      <c r="B61" s="2">
        <v>46238</v>
      </c>
      <c r="C61" t="s">
        <v>79</v>
      </c>
      <c r="D61" t="s">
        <v>17</v>
      </c>
      <c r="E61" t="s">
        <v>12</v>
      </c>
      <c r="F61" t="s">
        <v>23</v>
      </c>
      <c r="G61" t="s">
        <v>20</v>
      </c>
      <c r="H61" t="s">
        <v>15</v>
      </c>
      <c r="I61" s="3">
        <v>50000</v>
      </c>
    </row>
    <row r="62" spans="1:9" x14ac:dyDescent="0.25">
      <c r="A62" t="s">
        <v>84</v>
      </c>
      <c r="B62" s="2">
        <v>46239</v>
      </c>
      <c r="C62" t="s">
        <v>79</v>
      </c>
      <c r="D62" t="s">
        <v>17</v>
      </c>
      <c r="E62" t="s">
        <v>18</v>
      </c>
      <c r="F62" t="s">
        <v>23</v>
      </c>
      <c r="G62" t="s">
        <v>20</v>
      </c>
      <c r="H62" t="s">
        <v>15</v>
      </c>
      <c r="I62" s="3">
        <v>75000</v>
      </c>
    </row>
    <row r="63" spans="1:9" x14ac:dyDescent="0.25">
      <c r="A63" t="s">
        <v>85</v>
      </c>
      <c r="B63" s="2">
        <v>46239</v>
      </c>
      <c r="C63" t="s">
        <v>79</v>
      </c>
      <c r="D63" t="s">
        <v>11</v>
      </c>
      <c r="E63" t="s">
        <v>12</v>
      </c>
      <c r="F63" t="s">
        <v>13</v>
      </c>
      <c r="G63" t="s">
        <v>14</v>
      </c>
      <c r="H63" t="s">
        <v>15</v>
      </c>
      <c r="I63" s="3">
        <v>110000</v>
      </c>
    </row>
    <row r="64" spans="1:9" x14ac:dyDescent="0.25">
      <c r="A64" t="s">
        <v>86</v>
      </c>
      <c r="B64" s="2">
        <v>46239</v>
      </c>
      <c r="C64" t="s">
        <v>79</v>
      </c>
      <c r="D64" t="s">
        <v>11</v>
      </c>
      <c r="E64" t="s">
        <v>18</v>
      </c>
      <c r="F64" t="s">
        <v>23</v>
      </c>
      <c r="G64" t="s">
        <v>20</v>
      </c>
      <c r="H64" t="s">
        <v>15</v>
      </c>
      <c r="I64" s="3">
        <v>80000</v>
      </c>
    </row>
    <row r="65" spans="1:9" x14ac:dyDescent="0.25">
      <c r="A65" t="s">
        <v>87</v>
      </c>
      <c r="B65" s="2">
        <v>46239</v>
      </c>
      <c r="C65" t="s">
        <v>79</v>
      </c>
      <c r="D65" t="s">
        <v>17</v>
      </c>
      <c r="E65" t="s">
        <v>18</v>
      </c>
      <c r="F65" t="s">
        <v>23</v>
      </c>
      <c r="G65" t="s">
        <v>14</v>
      </c>
      <c r="H65" t="s">
        <v>15</v>
      </c>
      <c r="I65" s="3">
        <v>50000</v>
      </c>
    </row>
    <row r="66" spans="1:9" x14ac:dyDescent="0.25">
      <c r="A66" t="s">
        <v>88</v>
      </c>
      <c r="B66" s="2">
        <v>46239</v>
      </c>
      <c r="C66" t="s">
        <v>79</v>
      </c>
      <c r="D66" t="s">
        <v>22</v>
      </c>
      <c r="E66" t="s">
        <v>18</v>
      </c>
      <c r="F66" t="s">
        <v>13</v>
      </c>
      <c r="G66" t="s">
        <v>14</v>
      </c>
      <c r="H66" t="s">
        <v>15</v>
      </c>
      <c r="I66" s="3">
        <v>65000</v>
      </c>
    </row>
    <row r="67" spans="1:9" x14ac:dyDescent="0.25">
      <c r="A67" t="s">
        <v>89</v>
      </c>
      <c r="B67" s="2">
        <v>46239</v>
      </c>
      <c r="C67" t="s">
        <v>79</v>
      </c>
      <c r="D67" t="s">
        <v>17</v>
      </c>
      <c r="E67" t="s">
        <v>18</v>
      </c>
      <c r="F67" t="s">
        <v>23</v>
      </c>
      <c r="G67" t="s">
        <v>20</v>
      </c>
      <c r="H67" t="s">
        <v>15</v>
      </c>
      <c r="I67" s="3">
        <v>75000</v>
      </c>
    </row>
    <row r="68" spans="1:9" x14ac:dyDescent="0.25">
      <c r="A68" t="s">
        <v>90</v>
      </c>
      <c r="B68" s="2">
        <v>46241</v>
      </c>
      <c r="C68" t="s">
        <v>79</v>
      </c>
      <c r="D68" t="s">
        <v>17</v>
      </c>
      <c r="E68" t="s">
        <v>12</v>
      </c>
      <c r="F68" t="s">
        <v>23</v>
      </c>
      <c r="G68" t="s">
        <v>20</v>
      </c>
      <c r="H68" t="s">
        <v>15</v>
      </c>
      <c r="I68" s="3">
        <v>50000</v>
      </c>
    </row>
    <row r="69" spans="1:9" x14ac:dyDescent="0.25">
      <c r="A69" t="s">
        <v>91</v>
      </c>
      <c r="B69" s="2">
        <v>46241</v>
      </c>
      <c r="C69" t="s">
        <v>79</v>
      </c>
      <c r="D69" t="s">
        <v>17</v>
      </c>
      <c r="E69" t="s">
        <v>12</v>
      </c>
      <c r="F69" t="s">
        <v>23</v>
      </c>
      <c r="G69" t="s">
        <v>20</v>
      </c>
      <c r="H69" t="s">
        <v>15</v>
      </c>
      <c r="I69" s="3">
        <v>50000</v>
      </c>
    </row>
    <row r="70" spans="1:9" x14ac:dyDescent="0.25">
      <c r="A70" t="s">
        <v>92</v>
      </c>
      <c r="B70" s="2">
        <v>46241</v>
      </c>
      <c r="C70" t="s">
        <v>79</v>
      </c>
      <c r="D70" t="s">
        <v>17</v>
      </c>
      <c r="E70" t="s">
        <v>12</v>
      </c>
      <c r="F70" t="s">
        <v>23</v>
      </c>
      <c r="G70" t="s">
        <v>14</v>
      </c>
      <c r="H70" t="s">
        <v>15</v>
      </c>
      <c r="I70" s="3">
        <v>50000</v>
      </c>
    </row>
    <row r="71" spans="1:9" x14ac:dyDescent="0.25">
      <c r="A71" t="s">
        <v>93</v>
      </c>
      <c r="B71" s="2">
        <v>46241</v>
      </c>
      <c r="C71" t="s">
        <v>79</v>
      </c>
      <c r="D71" t="s">
        <v>17</v>
      </c>
      <c r="E71" t="s">
        <v>18</v>
      </c>
      <c r="F71" t="s">
        <v>13</v>
      </c>
      <c r="G71" t="s">
        <v>14</v>
      </c>
      <c r="H71" t="s">
        <v>60</v>
      </c>
      <c r="I71" s="3">
        <v>0</v>
      </c>
    </row>
    <row r="72" spans="1:9" x14ac:dyDescent="0.25">
      <c r="A72" t="s">
        <v>94</v>
      </c>
      <c r="B72" s="2">
        <v>46242</v>
      </c>
      <c r="C72" t="s">
        <v>79</v>
      </c>
      <c r="D72" t="s">
        <v>17</v>
      </c>
      <c r="E72" t="s">
        <v>18</v>
      </c>
      <c r="F72" t="s">
        <v>25</v>
      </c>
      <c r="G72" t="s">
        <v>14</v>
      </c>
      <c r="H72" t="s">
        <v>15</v>
      </c>
      <c r="I72" s="3">
        <v>50000</v>
      </c>
    </row>
    <row r="73" spans="1:9" x14ac:dyDescent="0.25">
      <c r="A73" t="s">
        <v>95</v>
      </c>
      <c r="B73" s="2">
        <v>46242</v>
      </c>
      <c r="C73" t="s">
        <v>79</v>
      </c>
      <c r="D73" t="s">
        <v>17</v>
      </c>
      <c r="E73" t="s">
        <v>12</v>
      </c>
      <c r="F73" t="s">
        <v>23</v>
      </c>
      <c r="G73" t="s">
        <v>20</v>
      </c>
      <c r="H73" t="s">
        <v>15</v>
      </c>
      <c r="I73" s="3">
        <v>50000</v>
      </c>
    </row>
    <row r="74" spans="1:9" x14ac:dyDescent="0.25">
      <c r="A74" t="s">
        <v>96</v>
      </c>
      <c r="B74" s="2">
        <v>46244</v>
      </c>
      <c r="C74" t="s">
        <v>79</v>
      </c>
      <c r="D74" t="s">
        <v>17</v>
      </c>
      <c r="E74" t="s">
        <v>18</v>
      </c>
      <c r="F74" t="s">
        <v>23</v>
      </c>
      <c r="G74" t="s">
        <v>14</v>
      </c>
      <c r="H74" t="s">
        <v>15</v>
      </c>
      <c r="I74" s="3">
        <v>50000</v>
      </c>
    </row>
    <row r="75" spans="1:9" x14ac:dyDescent="0.25">
      <c r="A75" t="s">
        <v>97</v>
      </c>
      <c r="B75" s="2">
        <v>46244</v>
      </c>
      <c r="C75" t="s">
        <v>79</v>
      </c>
      <c r="D75" t="s">
        <v>11</v>
      </c>
      <c r="E75" t="s">
        <v>12</v>
      </c>
      <c r="F75" t="s">
        <v>23</v>
      </c>
      <c r="G75" t="s">
        <v>20</v>
      </c>
      <c r="H75" t="s">
        <v>15</v>
      </c>
      <c r="I75" s="3">
        <v>110000</v>
      </c>
    </row>
    <row r="76" spans="1:9" x14ac:dyDescent="0.25">
      <c r="A76" t="s">
        <v>98</v>
      </c>
      <c r="B76" s="2">
        <v>46245</v>
      </c>
      <c r="C76" t="s">
        <v>79</v>
      </c>
      <c r="D76" t="s">
        <v>11</v>
      </c>
      <c r="E76" t="s">
        <v>12</v>
      </c>
      <c r="F76" t="s">
        <v>25</v>
      </c>
      <c r="G76" t="s">
        <v>20</v>
      </c>
      <c r="H76" t="s">
        <v>15</v>
      </c>
      <c r="I76" s="3">
        <v>110000</v>
      </c>
    </row>
    <row r="77" spans="1:9" x14ac:dyDescent="0.25">
      <c r="A77" t="s">
        <v>99</v>
      </c>
      <c r="B77" s="2">
        <v>46245</v>
      </c>
      <c r="C77" t="s">
        <v>79</v>
      </c>
      <c r="D77" t="s">
        <v>22</v>
      </c>
      <c r="E77" t="s">
        <v>18</v>
      </c>
      <c r="F77" t="s">
        <v>13</v>
      </c>
      <c r="G77" t="s">
        <v>20</v>
      </c>
      <c r="H77" t="s">
        <v>15</v>
      </c>
      <c r="I77" s="3">
        <v>90000</v>
      </c>
    </row>
    <row r="78" spans="1:9" x14ac:dyDescent="0.25">
      <c r="A78" t="s">
        <v>100</v>
      </c>
      <c r="B78" s="2">
        <v>46246</v>
      </c>
      <c r="C78" t="s">
        <v>79</v>
      </c>
      <c r="D78" t="s">
        <v>17</v>
      </c>
      <c r="E78" t="s">
        <v>18</v>
      </c>
      <c r="F78" t="s">
        <v>23</v>
      </c>
      <c r="G78" t="s">
        <v>20</v>
      </c>
      <c r="H78" t="s">
        <v>15</v>
      </c>
      <c r="I78" s="3">
        <v>75000</v>
      </c>
    </row>
    <row r="79" spans="1:9" x14ac:dyDescent="0.25">
      <c r="A79" t="s">
        <v>101</v>
      </c>
      <c r="B79" s="2">
        <v>46247</v>
      </c>
      <c r="C79" t="s">
        <v>79</v>
      </c>
      <c r="D79" t="s">
        <v>17</v>
      </c>
      <c r="E79" t="s">
        <v>18</v>
      </c>
      <c r="F79" t="s">
        <v>19</v>
      </c>
      <c r="G79" t="s">
        <v>14</v>
      </c>
      <c r="H79" t="s">
        <v>15</v>
      </c>
      <c r="I79" s="3">
        <v>50000</v>
      </c>
    </row>
    <row r="80" spans="1:9" x14ac:dyDescent="0.25">
      <c r="A80" t="s">
        <v>102</v>
      </c>
      <c r="B80" s="2">
        <v>46247</v>
      </c>
      <c r="C80" t="s">
        <v>79</v>
      </c>
      <c r="D80" t="s">
        <v>17</v>
      </c>
      <c r="E80" t="s">
        <v>18</v>
      </c>
      <c r="F80" t="s">
        <v>23</v>
      </c>
      <c r="G80" t="s">
        <v>14</v>
      </c>
      <c r="H80" t="s">
        <v>15</v>
      </c>
      <c r="I80" s="3">
        <v>75000</v>
      </c>
    </row>
    <row r="81" spans="1:9" x14ac:dyDescent="0.25">
      <c r="A81" t="s">
        <v>103</v>
      </c>
      <c r="B81" s="2">
        <v>46248</v>
      </c>
      <c r="C81" t="s">
        <v>79</v>
      </c>
      <c r="D81" t="s">
        <v>17</v>
      </c>
      <c r="E81" t="s">
        <v>12</v>
      </c>
      <c r="F81" t="s">
        <v>23</v>
      </c>
      <c r="G81" t="s">
        <v>14</v>
      </c>
      <c r="H81" t="s">
        <v>15</v>
      </c>
      <c r="I81" s="3">
        <v>75000</v>
      </c>
    </row>
    <row r="82" spans="1:9" x14ac:dyDescent="0.25">
      <c r="A82" t="s">
        <v>104</v>
      </c>
      <c r="B82" s="2">
        <v>46248</v>
      </c>
      <c r="C82" t="s">
        <v>79</v>
      </c>
      <c r="D82" t="s">
        <v>17</v>
      </c>
      <c r="E82" t="s">
        <v>18</v>
      </c>
      <c r="F82" t="s">
        <v>23</v>
      </c>
      <c r="G82" t="s">
        <v>20</v>
      </c>
      <c r="H82" t="s">
        <v>15</v>
      </c>
      <c r="I82" s="3">
        <v>50000</v>
      </c>
    </row>
    <row r="83" spans="1:9" x14ac:dyDescent="0.25">
      <c r="A83" t="s">
        <v>105</v>
      </c>
      <c r="B83" s="2">
        <v>46248</v>
      </c>
      <c r="C83" t="s">
        <v>79</v>
      </c>
      <c r="D83" t="s">
        <v>17</v>
      </c>
      <c r="E83" t="s">
        <v>12</v>
      </c>
      <c r="F83" t="s">
        <v>19</v>
      </c>
      <c r="G83" t="s">
        <v>20</v>
      </c>
      <c r="H83" t="s">
        <v>15</v>
      </c>
      <c r="I83" s="3">
        <v>50000</v>
      </c>
    </row>
    <row r="84" spans="1:9" x14ac:dyDescent="0.25">
      <c r="A84" t="s">
        <v>106</v>
      </c>
      <c r="B84" s="2">
        <v>46248</v>
      </c>
      <c r="C84" t="s">
        <v>79</v>
      </c>
      <c r="D84" t="s">
        <v>22</v>
      </c>
      <c r="E84" t="s">
        <v>18</v>
      </c>
      <c r="F84" t="s">
        <v>19</v>
      </c>
      <c r="G84" t="s">
        <v>20</v>
      </c>
      <c r="H84" t="s">
        <v>15</v>
      </c>
      <c r="I84" s="3">
        <v>90000</v>
      </c>
    </row>
    <row r="85" spans="1:9" x14ac:dyDescent="0.25">
      <c r="A85" t="s">
        <v>107</v>
      </c>
      <c r="B85" s="2">
        <v>46249</v>
      </c>
      <c r="C85" t="s">
        <v>79</v>
      </c>
      <c r="D85" t="s">
        <v>17</v>
      </c>
      <c r="E85" t="s">
        <v>18</v>
      </c>
      <c r="F85" t="s">
        <v>25</v>
      </c>
      <c r="G85" t="s">
        <v>14</v>
      </c>
      <c r="H85" t="s">
        <v>15</v>
      </c>
      <c r="I85" s="3">
        <v>75000</v>
      </c>
    </row>
    <row r="86" spans="1:9" x14ac:dyDescent="0.25">
      <c r="A86" t="s">
        <v>108</v>
      </c>
      <c r="B86" s="2">
        <v>46249</v>
      </c>
      <c r="C86" t="s">
        <v>79</v>
      </c>
      <c r="D86" t="s">
        <v>11</v>
      </c>
      <c r="E86" t="s">
        <v>18</v>
      </c>
      <c r="F86" t="s">
        <v>13</v>
      </c>
      <c r="G86" t="s">
        <v>20</v>
      </c>
      <c r="H86" t="s">
        <v>15</v>
      </c>
      <c r="I86" s="3">
        <v>80000</v>
      </c>
    </row>
    <row r="87" spans="1:9" x14ac:dyDescent="0.25">
      <c r="A87" t="s">
        <v>109</v>
      </c>
      <c r="B87" s="2">
        <v>46251</v>
      </c>
      <c r="C87" t="s">
        <v>79</v>
      </c>
      <c r="D87" t="s">
        <v>22</v>
      </c>
      <c r="E87" t="s">
        <v>18</v>
      </c>
      <c r="F87" t="s">
        <v>23</v>
      </c>
      <c r="G87" t="s">
        <v>20</v>
      </c>
      <c r="H87" t="s">
        <v>15</v>
      </c>
      <c r="I87" s="3">
        <v>65000</v>
      </c>
    </row>
    <row r="88" spans="1:9" x14ac:dyDescent="0.25">
      <c r="A88" t="s">
        <v>110</v>
      </c>
      <c r="B88" s="2">
        <v>46251</v>
      </c>
      <c r="C88" t="s">
        <v>79</v>
      </c>
      <c r="D88" t="s">
        <v>11</v>
      </c>
      <c r="E88" t="s">
        <v>12</v>
      </c>
      <c r="F88" t="s">
        <v>13</v>
      </c>
      <c r="G88" t="s">
        <v>14</v>
      </c>
      <c r="H88" t="s">
        <v>15</v>
      </c>
      <c r="I88" s="3">
        <v>110000</v>
      </c>
    </row>
    <row r="89" spans="1:9" x14ac:dyDescent="0.25">
      <c r="A89" t="s">
        <v>111</v>
      </c>
      <c r="B89" s="2">
        <v>46251</v>
      </c>
      <c r="C89" t="s">
        <v>79</v>
      </c>
      <c r="D89" t="s">
        <v>17</v>
      </c>
      <c r="E89" t="s">
        <v>12</v>
      </c>
      <c r="F89" t="s">
        <v>13</v>
      </c>
      <c r="G89" t="s">
        <v>14</v>
      </c>
      <c r="H89" t="s">
        <v>15</v>
      </c>
      <c r="I89" s="3">
        <v>75000</v>
      </c>
    </row>
    <row r="90" spans="1:9" x14ac:dyDescent="0.25">
      <c r="A90" t="s">
        <v>112</v>
      </c>
      <c r="B90" s="2">
        <v>46251</v>
      </c>
      <c r="C90" t="s">
        <v>79</v>
      </c>
      <c r="D90" t="s">
        <v>22</v>
      </c>
      <c r="E90" t="s">
        <v>18</v>
      </c>
      <c r="F90" t="s">
        <v>23</v>
      </c>
      <c r="G90" t="s">
        <v>14</v>
      </c>
      <c r="H90" t="s">
        <v>15</v>
      </c>
      <c r="I90" s="3">
        <v>90000</v>
      </c>
    </row>
    <row r="91" spans="1:9" x14ac:dyDescent="0.25">
      <c r="A91" t="s">
        <v>113</v>
      </c>
      <c r="B91" s="2">
        <v>46252</v>
      </c>
      <c r="C91" t="s">
        <v>79</v>
      </c>
      <c r="D91" t="s">
        <v>17</v>
      </c>
      <c r="E91" t="s">
        <v>12</v>
      </c>
      <c r="F91" t="s">
        <v>13</v>
      </c>
      <c r="G91" t="s">
        <v>20</v>
      </c>
      <c r="H91" t="s">
        <v>15</v>
      </c>
      <c r="I91" s="3">
        <v>50000</v>
      </c>
    </row>
    <row r="92" spans="1:9" x14ac:dyDescent="0.25">
      <c r="A92" t="s">
        <v>114</v>
      </c>
      <c r="B92" s="2">
        <v>46252</v>
      </c>
      <c r="C92" t="s">
        <v>79</v>
      </c>
      <c r="D92" t="s">
        <v>22</v>
      </c>
      <c r="E92" t="s">
        <v>18</v>
      </c>
      <c r="F92" t="s">
        <v>23</v>
      </c>
      <c r="G92" t="s">
        <v>20</v>
      </c>
      <c r="H92" t="s">
        <v>15</v>
      </c>
      <c r="I92" s="3">
        <v>65000</v>
      </c>
    </row>
    <row r="93" spans="1:9" x14ac:dyDescent="0.25">
      <c r="A93" t="s">
        <v>115</v>
      </c>
      <c r="B93" s="2">
        <v>46252</v>
      </c>
      <c r="C93" t="s">
        <v>79</v>
      </c>
      <c r="D93" t="s">
        <v>22</v>
      </c>
      <c r="E93" t="s">
        <v>18</v>
      </c>
      <c r="F93" t="s">
        <v>23</v>
      </c>
      <c r="G93" t="s">
        <v>20</v>
      </c>
      <c r="H93" t="s">
        <v>15</v>
      </c>
      <c r="I93" s="3">
        <v>65000</v>
      </c>
    </row>
    <row r="94" spans="1:9" x14ac:dyDescent="0.25">
      <c r="A94" t="s">
        <v>116</v>
      </c>
      <c r="B94" s="2">
        <v>46252</v>
      </c>
      <c r="C94" t="s">
        <v>79</v>
      </c>
      <c r="D94" t="s">
        <v>17</v>
      </c>
      <c r="E94" t="s">
        <v>12</v>
      </c>
      <c r="F94" t="s">
        <v>23</v>
      </c>
      <c r="G94" t="s">
        <v>20</v>
      </c>
      <c r="H94" t="s">
        <v>15</v>
      </c>
      <c r="I94" s="3">
        <v>50000</v>
      </c>
    </row>
    <row r="95" spans="1:9" x14ac:dyDescent="0.25">
      <c r="A95" t="s">
        <v>117</v>
      </c>
      <c r="B95" s="2">
        <v>46253</v>
      </c>
      <c r="C95" t="s">
        <v>79</v>
      </c>
      <c r="D95" t="s">
        <v>17</v>
      </c>
      <c r="E95" t="s">
        <v>12</v>
      </c>
      <c r="F95" t="s">
        <v>23</v>
      </c>
      <c r="G95" t="s">
        <v>20</v>
      </c>
      <c r="H95" t="s">
        <v>15</v>
      </c>
      <c r="I95" s="3">
        <v>75000</v>
      </c>
    </row>
    <row r="96" spans="1:9" x14ac:dyDescent="0.25">
      <c r="A96" t="s">
        <v>118</v>
      </c>
      <c r="B96" s="2">
        <v>46253</v>
      </c>
      <c r="C96" t="s">
        <v>79</v>
      </c>
      <c r="D96" t="s">
        <v>22</v>
      </c>
      <c r="E96" t="s">
        <v>18</v>
      </c>
      <c r="F96" t="s">
        <v>23</v>
      </c>
      <c r="G96" t="s">
        <v>14</v>
      </c>
      <c r="H96" t="s">
        <v>15</v>
      </c>
      <c r="I96" s="3">
        <v>65000</v>
      </c>
    </row>
    <row r="97" spans="1:9" x14ac:dyDescent="0.25">
      <c r="A97" t="s">
        <v>119</v>
      </c>
      <c r="B97" s="2">
        <v>46256</v>
      </c>
      <c r="C97" t="s">
        <v>79</v>
      </c>
      <c r="D97" t="s">
        <v>22</v>
      </c>
      <c r="E97" t="s">
        <v>18</v>
      </c>
      <c r="F97" t="s">
        <v>23</v>
      </c>
      <c r="G97" t="s">
        <v>14</v>
      </c>
      <c r="H97" t="s">
        <v>15</v>
      </c>
      <c r="I97" s="3">
        <v>90000</v>
      </c>
    </row>
    <row r="98" spans="1:9" x14ac:dyDescent="0.25">
      <c r="A98" t="s">
        <v>120</v>
      </c>
      <c r="B98" s="2">
        <v>46256</v>
      </c>
      <c r="C98" t="s">
        <v>79</v>
      </c>
      <c r="D98" t="s">
        <v>11</v>
      </c>
      <c r="E98" t="s">
        <v>12</v>
      </c>
      <c r="F98" t="s">
        <v>23</v>
      </c>
      <c r="G98" t="s">
        <v>20</v>
      </c>
      <c r="H98" t="s">
        <v>15</v>
      </c>
      <c r="I98" s="3">
        <v>80000</v>
      </c>
    </row>
    <row r="99" spans="1:9" x14ac:dyDescent="0.25">
      <c r="A99" t="s">
        <v>121</v>
      </c>
      <c r="B99" s="2">
        <v>46256</v>
      </c>
      <c r="C99" t="s">
        <v>79</v>
      </c>
      <c r="D99" t="s">
        <v>11</v>
      </c>
      <c r="E99" t="s">
        <v>18</v>
      </c>
      <c r="F99" t="s">
        <v>23</v>
      </c>
      <c r="G99" t="s">
        <v>20</v>
      </c>
      <c r="H99" t="s">
        <v>60</v>
      </c>
      <c r="I99" s="3">
        <v>0</v>
      </c>
    </row>
    <row r="100" spans="1:9" x14ac:dyDescent="0.25">
      <c r="A100" t="s">
        <v>122</v>
      </c>
      <c r="B100" s="2">
        <v>46258</v>
      </c>
      <c r="C100" t="s">
        <v>79</v>
      </c>
      <c r="D100" t="s">
        <v>22</v>
      </c>
      <c r="E100" t="s">
        <v>12</v>
      </c>
      <c r="F100" t="s">
        <v>13</v>
      </c>
      <c r="G100" t="s">
        <v>20</v>
      </c>
      <c r="H100" t="s">
        <v>15</v>
      </c>
      <c r="I100" s="3">
        <v>90000</v>
      </c>
    </row>
    <row r="101" spans="1:9" x14ac:dyDescent="0.25">
      <c r="A101" t="s">
        <v>123</v>
      </c>
      <c r="B101" s="2">
        <v>46258</v>
      </c>
      <c r="C101" t="s">
        <v>79</v>
      </c>
      <c r="D101" t="s">
        <v>11</v>
      </c>
      <c r="E101" t="s">
        <v>12</v>
      </c>
      <c r="F101" t="s">
        <v>23</v>
      </c>
      <c r="G101" t="s">
        <v>20</v>
      </c>
      <c r="H101" t="s">
        <v>15</v>
      </c>
      <c r="I101" s="3">
        <v>110000</v>
      </c>
    </row>
    <row r="102" spans="1:9" x14ac:dyDescent="0.25">
      <c r="A102" t="s">
        <v>124</v>
      </c>
      <c r="B102" s="2">
        <v>46259</v>
      </c>
      <c r="C102" t="s">
        <v>79</v>
      </c>
      <c r="D102" t="s">
        <v>17</v>
      </c>
      <c r="E102" t="s">
        <v>12</v>
      </c>
      <c r="F102" t="s">
        <v>23</v>
      </c>
      <c r="G102" t="s">
        <v>14</v>
      </c>
      <c r="H102" t="s">
        <v>15</v>
      </c>
      <c r="I102" s="3">
        <v>50000</v>
      </c>
    </row>
    <row r="103" spans="1:9" x14ac:dyDescent="0.25">
      <c r="A103" t="s">
        <v>125</v>
      </c>
      <c r="B103" s="2">
        <v>46259</v>
      </c>
      <c r="C103" t="s">
        <v>79</v>
      </c>
      <c r="D103" t="s">
        <v>11</v>
      </c>
      <c r="E103" t="s">
        <v>12</v>
      </c>
      <c r="F103" t="s">
        <v>23</v>
      </c>
      <c r="G103" t="s">
        <v>14</v>
      </c>
      <c r="H103" t="s">
        <v>15</v>
      </c>
      <c r="I103" s="3">
        <v>110000</v>
      </c>
    </row>
    <row r="104" spans="1:9" x14ac:dyDescent="0.25">
      <c r="A104" t="s">
        <v>126</v>
      </c>
      <c r="B104" s="2">
        <v>46259</v>
      </c>
      <c r="C104" t="s">
        <v>79</v>
      </c>
      <c r="D104" t="s">
        <v>11</v>
      </c>
      <c r="E104" t="s">
        <v>18</v>
      </c>
      <c r="F104" t="s">
        <v>23</v>
      </c>
      <c r="G104" t="s">
        <v>20</v>
      </c>
      <c r="H104" t="s">
        <v>15</v>
      </c>
      <c r="I104" s="3">
        <v>110000</v>
      </c>
    </row>
    <row r="105" spans="1:9" x14ac:dyDescent="0.25">
      <c r="A105" t="s">
        <v>127</v>
      </c>
      <c r="B105" s="2">
        <v>46259</v>
      </c>
      <c r="C105" t="s">
        <v>79</v>
      </c>
      <c r="D105" t="s">
        <v>11</v>
      </c>
      <c r="E105" t="s">
        <v>18</v>
      </c>
      <c r="F105" t="s">
        <v>13</v>
      </c>
      <c r="G105" t="s">
        <v>20</v>
      </c>
      <c r="H105" t="s">
        <v>15</v>
      </c>
      <c r="I105" s="3">
        <v>110000</v>
      </c>
    </row>
    <row r="106" spans="1:9" x14ac:dyDescent="0.25">
      <c r="A106" t="s">
        <v>128</v>
      </c>
      <c r="B106" s="2">
        <v>46259</v>
      </c>
      <c r="C106" t="s">
        <v>79</v>
      </c>
      <c r="D106" t="s">
        <v>17</v>
      </c>
      <c r="E106" t="s">
        <v>12</v>
      </c>
      <c r="F106" t="s">
        <v>23</v>
      </c>
      <c r="G106" t="s">
        <v>20</v>
      </c>
      <c r="H106" t="s">
        <v>60</v>
      </c>
      <c r="I106" s="3">
        <v>0</v>
      </c>
    </row>
    <row r="107" spans="1:9" x14ac:dyDescent="0.25">
      <c r="A107" t="s">
        <v>129</v>
      </c>
      <c r="B107" s="2">
        <v>46260</v>
      </c>
      <c r="C107" t="s">
        <v>79</v>
      </c>
      <c r="D107" t="s">
        <v>17</v>
      </c>
      <c r="E107" t="s">
        <v>12</v>
      </c>
      <c r="F107" t="s">
        <v>23</v>
      </c>
      <c r="G107" t="s">
        <v>14</v>
      </c>
      <c r="H107" t="s">
        <v>15</v>
      </c>
      <c r="I107" s="3">
        <v>50000</v>
      </c>
    </row>
    <row r="108" spans="1:9" x14ac:dyDescent="0.25">
      <c r="A108" t="s">
        <v>130</v>
      </c>
      <c r="B108" s="2">
        <v>46261</v>
      </c>
      <c r="C108" t="s">
        <v>79</v>
      </c>
      <c r="D108" t="s">
        <v>17</v>
      </c>
      <c r="E108" t="s">
        <v>12</v>
      </c>
      <c r="F108" t="s">
        <v>23</v>
      </c>
      <c r="G108" t="s">
        <v>14</v>
      </c>
      <c r="H108" t="s">
        <v>60</v>
      </c>
      <c r="I108" s="3">
        <v>0</v>
      </c>
    </row>
    <row r="109" spans="1:9" x14ac:dyDescent="0.25">
      <c r="A109" t="s">
        <v>131</v>
      </c>
      <c r="B109" s="2">
        <v>46261</v>
      </c>
      <c r="C109" t="s">
        <v>79</v>
      </c>
      <c r="D109" t="s">
        <v>17</v>
      </c>
      <c r="E109" t="s">
        <v>12</v>
      </c>
      <c r="F109" t="s">
        <v>23</v>
      </c>
      <c r="G109" t="s">
        <v>20</v>
      </c>
      <c r="H109" t="s">
        <v>15</v>
      </c>
      <c r="I109" s="3">
        <v>75000</v>
      </c>
    </row>
    <row r="110" spans="1:9" x14ac:dyDescent="0.25">
      <c r="A110" t="s">
        <v>132</v>
      </c>
      <c r="B110" s="2">
        <v>46262</v>
      </c>
      <c r="C110" t="s">
        <v>79</v>
      </c>
      <c r="D110" t="s">
        <v>11</v>
      </c>
      <c r="E110" t="s">
        <v>12</v>
      </c>
      <c r="F110" t="s">
        <v>25</v>
      </c>
      <c r="G110" t="s">
        <v>20</v>
      </c>
      <c r="H110" t="s">
        <v>15</v>
      </c>
      <c r="I110" s="3">
        <v>80000</v>
      </c>
    </row>
    <row r="111" spans="1:9" x14ac:dyDescent="0.25">
      <c r="A111" t="s">
        <v>133</v>
      </c>
      <c r="B111" s="2">
        <v>46262</v>
      </c>
      <c r="C111" t="s">
        <v>79</v>
      </c>
      <c r="D111" t="s">
        <v>22</v>
      </c>
      <c r="E111" t="s">
        <v>12</v>
      </c>
      <c r="F111" t="s">
        <v>13</v>
      </c>
      <c r="G111" t="s">
        <v>20</v>
      </c>
      <c r="H111" t="s">
        <v>15</v>
      </c>
      <c r="I111" s="3">
        <v>65000</v>
      </c>
    </row>
    <row r="112" spans="1:9" x14ac:dyDescent="0.25">
      <c r="A112" t="s">
        <v>134</v>
      </c>
      <c r="B112" s="2">
        <v>46262</v>
      </c>
      <c r="C112" t="s">
        <v>79</v>
      </c>
      <c r="D112" t="s">
        <v>17</v>
      </c>
      <c r="E112" t="s">
        <v>12</v>
      </c>
      <c r="F112" t="s">
        <v>13</v>
      </c>
      <c r="G112" t="s">
        <v>14</v>
      </c>
      <c r="H112" t="s">
        <v>15</v>
      </c>
      <c r="I112" s="3">
        <v>50000</v>
      </c>
    </row>
    <row r="113" spans="1:9" x14ac:dyDescent="0.25">
      <c r="A113" t="s">
        <v>135</v>
      </c>
      <c r="B113" s="2">
        <v>46263</v>
      </c>
      <c r="C113" t="s">
        <v>79</v>
      </c>
      <c r="D113" t="s">
        <v>22</v>
      </c>
      <c r="E113" t="s">
        <v>18</v>
      </c>
      <c r="F113" t="s">
        <v>23</v>
      </c>
      <c r="G113" t="s">
        <v>20</v>
      </c>
      <c r="H113" t="s">
        <v>15</v>
      </c>
      <c r="I113" s="3">
        <v>65000</v>
      </c>
    </row>
    <row r="114" spans="1:9" x14ac:dyDescent="0.25">
      <c r="A114" t="s">
        <v>136</v>
      </c>
      <c r="B114" s="2">
        <v>46263</v>
      </c>
      <c r="C114" t="s">
        <v>79</v>
      </c>
      <c r="D114" t="s">
        <v>17</v>
      </c>
      <c r="E114" t="s">
        <v>18</v>
      </c>
      <c r="F114" t="s">
        <v>23</v>
      </c>
      <c r="G114" t="s">
        <v>20</v>
      </c>
      <c r="H114" t="s">
        <v>15</v>
      </c>
      <c r="I114" s="3">
        <v>75000</v>
      </c>
    </row>
    <row r="115" spans="1:9" x14ac:dyDescent="0.25">
      <c r="A115" t="s">
        <v>137</v>
      </c>
      <c r="B115" s="2">
        <v>46265</v>
      </c>
      <c r="C115" t="s">
        <v>79</v>
      </c>
      <c r="D115" t="s">
        <v>11</v>
      </c>
      <c r="E115" t="s">
        <v>12</v>
      </c>
      <c r="F115" t="s">
        <v>23</v>
      </c>
      <c r="G115" t="s">
        <v>20</v>
      </c>
      <c r="H115" t="s">
        <v>15</v>
      </c>
      <c r="I115" s="3">
        <v>110000</v>
      </c>
    </row>
    <row r="116" spans="1:9" x14ac:dyDescent="0.25">
      <c r="A116" t="s">
        <v>138</v>
      </c>
      <c r="B116" s="2">
        <v>46265</v>
      </c>
      <c r="C116" t="s">
        <v>79</v>
      </c>
      <c r="D116" t="s">
        <v>22</v>
      </c>
      <c r="E116" t="s">
        <v>12</v>
      </c>
      <c r="F116" t="s">
        <v>13</v>
      </c>
      <c r="G116" t="s">
        <v>20</v>
      </c>
      <c r="H116" t="s">
        <v>15</v>
      </c>
      <c r="I116" s="3">
        <v>90000</v>
      </c>
    </row>
    <row r="117" spans="1:9" x14ac:dyDescent="0.25">
      <c r="A117" t="s">
        <v>139</v>
      </c>
      <c r="B117" s="2">
        <v>46266</v>
      </c>
      <c r="C117" t="s">
        <v>140</v>
      </c>
      <c r="D117" t="s">
        <v>11</v>
      </c>
      <c r="E117" t="s">
        <v>18</v>
      </c>
      <c r="F117" t="s">
        <v>25</v>
      </c>
      <c r="G117" t="s">
        <v>20</v>
      </c>
      <c r="H117" t="s">
        <v>15</v>
      </c>
      <c r="I117" s="3">
        <v>80000</v>
      </c>
    </row>
    <row r="118" spans="1:9" x14ac:dyDescent="0.25">
      <c r="A118" t="s">
        <v>141</v>
      </c>
      <c r="B118" s="2">
        <v>46266</v>
      </c>
      <c r="C118" t="s">
        <v>140</v>
      </c>
      <c r="D118" t="s">
        <v>11</v>
      </c>
      <c r="E118" t="s">
        <v>12</v>
      </c>
      <c r="F118" t="s">
        <v>25</v>
      </c>
      <c r="G118" t="s">
        <v>20</v>
      </c>
      <c r="H118" t="s">
        <v>15</v>
      </c>
      <c r="I118" s="3">
        <v>80000</v>
      </c>
    </row>
    <row r="119" spans="1:9" x14ac:dyDescent="0.25">
      <c r="A119" t="s">
        <v>142</v>
      </c>
      <c r="B119" s="2">
        <v>46266</v>
      </c>
      <c r="C119" t="s">
        <v>140</v>
      </c>
      <c r="D119" t="s">
        <v>11</v>
      </c>
      <c r="E119" t="s">
        <v>12</v>
      </c>
      <c r="F119" t="s">
        <v>23</v>
      </c>
      <c r="G119" t="s">
        <v>20</v>
      </c>
      <c r="H119" t="s">
        <v>15</v>
      </c>
      <c r="I119" s="3">
        <v>80000</v>
      </c>
    </row>
    <row r="120" spans="1:9" x14ac:dyDescent="0.25">
      <c r="A120" t="s">
        <v>143</v>
      </c>
      <c r="B120" s="2">
        <v>46266</v>
      </c>
      <c r="C120" t="s">
        <v>140</v>
      </c>
      <c r="D120" t="s">
        <v>22</v>
      </c>
      <c r="E120" t="s">
        <v>18</v>
      </c>
      <c r="F120" t="s">
        <v>23</v>
      </c>
      <c r="G120" t="s">
        <v>20</v>
      </c>
      <c r="H120" t="s">
        <v>15</v>
      </c>
      <c r="I120" s="3">
        <v>65000</v>
      </c>
    </row>
    <row r="121" spans="1:9" x14ac:dyDescent="0.25">
      <c r="A121" t="s">
        <v>144</v>
      </c>
      <c r="B121" s="2">
        <v>46267</v>
      </c>
      <c r="C121" t="s">
        <v>140</v>
      </c>
      <c r="D121" t="s">
        <v>17</v>
      </c>
      <c r="E121" t="s">
        <v>12</v>
      </c>
      <c r="F121" t="s">
        <v>23</v>
      </c>
      <c r="G121" t="s">
        <v>20</v>
      </c>
      <c r="H121" t="s">
        <v>15</v>
      </c>
      <c r="I121" s="3">
        <v>75000</v>
      </c>
    </row>
    <row r="122" spans="1:9" x14ac:dyDescent="0.25">
      <c r="A122" t="s">
        <v>145</v>
      </c>
      <c r="B122" s="2">
        <v>46267</v>
      </c>
      <c r="C122" t="s">
        <v>140</v>
      </c>
      <c r="D122" t="s">
        <v>22</v>
      </c>
      <c r="E122" t="s">
        <v>18</v>
      </c>
      <c r="F122" t="s">
        <v>23</v>
      </c>
      <c r="G122" t="s">
        <v>14</v>
      </c>
      <c r="H122" t="s">
        <v>15</v>
      </c>
      <c r="I122" s="3">
        <v>65000</v>
      </c>
    </row>
    <row r="123" spans="1:9" x14ac:dyDescent="0.25">
      <c r="A123" t="s">
        <v>146</v>
      </c>
      <c r="B123" s="2">
        <v>46268</v>
      </c>
      <c r="C123" t="s">
        <v>140</v>
      </c>
      <c r="D123" t="s">
        <v>22</v>
      </c>
      <c r="E123" t="s">
        <v>18</v>
      </c>
      <c r="F123" t="s">
        <v>23</v>
      </c>
      <c r="G123" t="s">
        <v>14</v>
      </c>
      <c r="H123" t="s">
        <v>15</v>
      </c>
      <c r="I123" s="3">
        <v>65000</v>
      </c>
    </row>
    <row r="124" spans="1:9" x14ac:dyDescent="0.25">
      <c r="A124" t="s">
        <v>147</v>
      </c>
      <c r="B124" s="2">
        <v>46268</v>
      </c>
      <c r="C124" t="s">
        <v>140</v>
      </c>
      <c r="D124" t="s">
        <v>22</v>
      </c>
      <c r="E124" t="s">
        <v>18</v>
      </c>
      <c r="F124" t="s">
        <v>23</v>
      </c>
      <c r="G124" t="s">
        <v>20</v>
      </c>
      <c r="H124" t="s">
        <v>60</v>
      </c>
      <c r="I124" s="3">
        <v>0</v>
      </c>
    </row>
    <row r="125" spans="1:9" x14ac:dyDescent="0.25">
      <c r="A125" t="s">
        <v>148</v>
      </c>
      <c r="B125" s="2">
        <v>46269</v>
      </c>
      <c r="C125" t="s">
        <v>140</v>
      </c>
      <c r="D125" t="s">
        <v>22</v>
      </c>
      <c r="E125" t="s">
        <v>18</v>
      </c>
      <c r="F125" t="s">
        <v>13</v>
      </c>
      <c r="G125" t="s">
        <v>20</v>
      </c>
      <c r="H125" t="s">
        <v>15</v>
      </c>
      <c r="I125" s="3">
        <v>65000</v>
      </c>
    </row>
    <row r="126" spans="1:9" x14ac:dyDescent="0.25">
      <c r="A126" t="s">
        <v>149</v>
      </c>
      <c r="B126" s="2">
        <v>46269</v>
      </c>
      <c r="C126" t="s">
        <v>140</v>
      </c>
      <c r="D126" t="s">
        <v>17</v>
      </c>
      <c r="E126" t="s">
        <v>12</v>
      </c>
      <c r="F126" t="s">
        <v>23</v>
      </c>
      <c r="G126" t="s">
        <v>14</v>
      </c>
      <c r="H126" t="s">
        <v>15</v>
      </c>
      <c r="I126" s="3">
        <v>75000</v>
      </c>
    </row>
    <row r="127" spans="1:9" x14ac:dyDescent="0.25">
      <c r="A127" t="s">
        <v>150</v>
      </c>
      <c r="B127" s="2">
        <v>46270</v>
      </c>
      <c r="C127" t="s">
        <v>140</v>
      </c>
      <c r="D127" t="s">
        <v>22</v>
      </c>
      <c r="E127" t="s">
        <v>18</v>
      </c>
      <c r="F127" t="s">
        <v>23</v>
      </c>
      <c r="G127" t="s">
        <v>14</v>
      </c>
      <c r="H127" t="s">
        <v>15</v>
      </c>
      <c r="I127" s="3">
        <v>90000</v>
      </c>
    </row>
    <row r="128" spans="1:9" x14ac:dyDescent="0.25">
      <c r="A128" t="s">
        <v>151</v>
      </c>
      <c r="B128" s="2">
        <v>46270</v>
      </c>
      <c r="C128" t="s">
        <v>140</v>
      </c>
      <c r="D128" t="s">
        <v>22</v>
      </c>
      <c r="E128" t="s">
        <v>18</v>
      </c>
      <c r="F128" t="s">
        <v>13</v>
      </c>
      <c r="G128" t="s">
        <v>14</v>
      </c>
      <c r="H128" t="s">
        <v>15</v>
      </c>
      <c r="I128" s="3">
        <v>90000</v>
      </c>
    </row>
    <row r="129" spans="1:9" x14ac:dyDescent="0.25">
      <c r="A129" t="s">
        <v>152</v>
      </c>
      <c r="B129" s="2">
        <v>46272</v>
      </c>
      <c r="C129" t="s">
        <v>140</v>
      </c>
      <c r="D129" t="s">
        <v>11</v>
      </c>
      <c r="E129" t="s">
        <v>12</v>
      </c>
      <c r="F129" t="s">
        <v>23</v>
      </c>
      <c r="G129" t="s">
        <v>20</v>
      </c>
      <c r="H129" t="s">
        <v>15</v>
      </c>
      <c r="I129" s="3">
        <v>110000</v>
      </c>
    </row>
    <row r="130" spans="1:9" x14ac:dyDescent="0.25">
      <c r="A130" t="s">
        <v>153</v>
      </c>
      <c r="B130" s="2">
        <v>46272</v>
      </c>
      <c r="C130" t="s">
        <v>140</v>
      </c>
      <c r="D130" t="s">
        <v>11</v>
      </c>
      <c r="E130" t="s">
        <v>18</v>
      </c>
      <c r="F130" t="s">
        <v>13</v>
      </c>
      <c r="G130" t="s">
        <v>20</v>
      </c>
      <c r="H130" t="s">
        <v>60</v>
      </c>
      <c r="I130" s="3">
        <v>0</v>
      </c>
    </row>
    <row r="131" spans="1:9" x14ac:dyDescent="0.25">
      <c r="A131" t="s">
        <v>154</v>
      </c>
      <c r="B131" s="2">
        <v>46272</v>
      </c>
      <c r="C131" t="s">
        <v>140</v>
      </c>
      <c r="D131" t="s">
        <v>22</v>
      </c>
      <c r="E131" t="s">
        <v>12</v>
      </c>
      <c r="F131" t="s">
        <v>13</v>
      </c>
      <c r="G131" t="s">
        <v>14</v>
      </c>
      <c r="H131" t="s">
        <v>15</v>
      </c>
      <c r="I131" s="3">
        <v>90000</v>
      </c>
    </row>
    <row r="132" spans="1:9" x14ac:dyDescent="0.25">
      <c r="A132" t="s">
        <v>155</v>
      </c>
      <c r="B132" s="2">
        <v>46273</v>
      </c>
      <c r="C132" t="s">
        <v>140</v>
      </c>
      <c r="D132" t="s">
        <v>17</v>
      </c>
      <c r="E132" t="s">
        <v>18</v>
      </c>
      <c r="F132" t="s">
        <v>23</v>
      </c>
      <c r="G132" t="s">
        <v>14</v>
      </c>
      <c r="H132" t="s">
        <v>15</v>
      </c>
      <c r="I132" s="3">
        <v>75000</v>
      </c>
    </row>
    <row r="133" spans="1:9" x14ac:dyDescent="0.25">
      <c r="A133" t="s">
        <v>156</v>
      </c>
      <c r="B133" s="2">
        <v>46274</v>
      </c>
      <c r="C133" t="s">
        <v>140</v>
      </c>
      <c r="D133" t="s">
        <v>17</v>
      </c>
      <c r="E133" t="s">
        <v>18</v>
      </c>
      <c r="F133" t="s">
        <v>23</v>
      </c>
      <c r="G133" t="s">
        <v>14</v>
      </c>
      <c r="H133" t="s">
        <v>15</v>
      </c>
      <c r="I133" s="3">
        <v>50000</v>
      </c>
    </row>
    <row r="134" spans="1:9" x14ac:dyDescent="0.25">
      <c r="A134" t="s">
        <v>157</v>
      </c>
      <c r="B134" s="2">
        <v>46275</v>
      </c>
      <c r="C134" t="s">
        <v>140</v>
      </c>
      <c r="D134" t="s">
        <v>17</v>
      </c>
      <c r="E134" t="s">
        <v>18</v>
      </c>
      <c r="F134" t="s">
        <v>19</v>
      </c>
      <c r="G134" t="s">
        <v>14</v>
      </c>
      <c r="H134" t="s">
        <v>60</v>
      </c>
      <c r="I134" s="3">
        <v>0</v>
      </c>
    </row>
    <row r="135" spans="1:9" x14ac:dyDescent="0.25">
      <c r="A135" t="s">
        <v>158</v>
      </c>
      <c r="B135" s="2">
        <v>46276</v>
      </c>
      <c r="C135" t="s">
        <v>140</v>
      </c>
      <c r="D135" t="s">
        <v>17</v>
      </c>
      <c r="E135" t="s">
        <v>18</v>
      </c>
      <c r="F135" t="s">
        <v>25</v>
      </c>
      <c r="G135" t="s">
        <v>14</v>
      </c>
      <c r="H135" t="s">
        <v>15</v>
      </c>
      <c r="I135" s="3">
        <v>50000</v>
      </c>
    </row>
    <row r="136" spans="1:9" x14ac:dyDescent="0.25">
      <c r="A136" t="s">
        <v>159</v>
      </c>
      <c r="B136" s="2">
        <v>46276</v>
      </c>
      <c r="C136" t="s">
        <v>140</v>
      </c>
      <c r="D136" t="s">
        <v>17</v>
      </c>
      <c r="E136" t="s">
        <v>12</v>
      </c>
      <c r="F136" t="s">
        <v>23</v>
      </c>
      <c r="G136" t="s">
        <v>20</v>
      </c>
      <c r="H136" t="s">
        <v>60</v>
      </c>
      <c r="I136" s="3">
        <v>0</v>
      </c>
    </row>
    <row r="137" spans="1:9" x14ac:dyDescent="0.25">
      <c r="A137" t="s">
        <v>160</v>
      </c>
      <c r="B137" s="2">
        <v>46276</v>
      </c>
      <c r="C137" t="s">
        <v>140</v>
      </c>
      <c r="D137" t="s">
        <v>17</v>
      </c>
      <c r="E137" t="s">
        <v>18</v>
      </c>
      <c r="F137" t="s">
        <v>23</v>
      </c>
      <c r="G137" t="s">
        <v>14</v>
      </c>
      <c r="H137" t="s">
        <v>15</v>
      </c>
      <c r="I137" s="3">
        <v>50000</v>
      </c>
    </row>
    <row r="138" spans="1:9" x14ac:dyDescent="0.25">
      <c r="A138" t="s">
        <v>161</v>
      </c>
      <c r="B138" s="2">
        <v>46277</v>
      </c>
      <c r="C138" t="s">
        <v>140</v>
      </c>
      <c r="D138" t="s">
        <v>22</v>
      </c>
      <c r="E138" t="s">
        <v>18</v>
      </c>
      <c r="F138" t="s">
        <v>23</v>
      </c>
      <c r="G138" t="s">
        <v>20</v>
      </c>
      <c r="H138" t="s">
        <v>15</v>
      </c>
      <c r="I138" s="3">
        <v>65000</v>
      </c>
    </row>
    <row r="139" spans="1:9" x14ac:dyDescent="0.25">
      <c r="A139" t="s">
        <v>162</v>
      </c>
      <c r="B139" s="2">
        <v>46279</v>
      </c>
      <c r="C139" t="s">
        <v>140</v>
      </c>
      <c r="D139" t="s">
        <v>17</v>
      </c>
      <c r="E139" t="s">
        <v>12</v>
      </c>
      <c r="F139" t="s">
        <v>23</v>
      </c>
      <c r="G139" t="s">
        <v>14</v>
      </c>
      <c r="H139" t="s">
        <v>15</v>
      </c>
      <c r="I139" s="3">
        <v>75000</v>
      </c>
    </row>
    <row r="140" spans="1:9" x14ac:dyDescent="0.25">
      <c r="A140" t="s">
        <v>163</v>
      </c>
      <c r="B140" s="2">
        <v>46279</v>
      </c>
      <c r="C140" t="s">
        <v>140</v>
      </c>
      <c r="D140" t="s">
        <v>17</v>
      </c>
      <c r="E140" t="s">
        <v>12</v>
      </c>
      <c r="F140" t="s">
        <v>23</v>
      </c>
      <c r="G140" t="s">
        <v>20</v>
      </c>
      <c r="H140" t="s">
        <v>15</v>
      </c>
      <c r="I140" s="3">
        <v>75000</v>
      </c>
    </row>
    <row r="141" spans="1:9" x14ac:dyDescent="0.25">
      <c r="A141" t="s">
        <v>164</v>
      </c>
      <c r="B141" s="2">
        <v>46279</v>
      </c>
      <c r="C141" t="s">
        <v>140</v>
      </c>
      <c r="D141" t="s">
        <v>17</v>
      </c>
      <c r="E141" t="s">
        <v>12</v>
      </c>
      <c r="F141" t="s">
        <v>25</v>
      </c>
      <c r="G141" t="s">
        <v>20</v>
      </c>
      <c r="H141" t="s">
        <v>15</v>
      </c>
      <c r="I141" s="3">
        <v>75000</v>
      </c>
    </row>
    <row r="142" spans="1:9" x14ac:dyDescent="0.25">
      <c r="A142" t="s">
        <v>165</v>
      </c>
      <c r="B142" s="2">
        <v>46279</v>
      </c>
      <c r="C142" t="s">
        <v>140</v>
      </c>
      <c r="D142" t="s">
        <v>17</v>
      </c>
      <c r="E142" t="s">
        <v>18</v>
      </c>
      <c r="F142" t="s">
        <v>23</v>
      </c>
      <c r="G142" t="s">
        <v>20</v>
      </c>
      <c r="H142" t="s">
        <v>15</v>
      </c>
      <c r="I142" s="3">
        <v>75000</v>
      </c>
    </row>
    <row r="143" spans="1:9" x14ac:dyDescent="0.25">
      <c r="A143" t="s">
        <v>166</v>
      </c>
      <c r="B143" s="2">
        <v>46280</v>
      </c>
      <c r="C143" t="s">
        <v>140</v>
      </c>
      <c r="D143" t="s">
        <v>22</v>
      </c>
      <c r="E143" t="s">
        <v>18</v>
      </c>
      <c r="F143" t="s">
        <v>23</v>
      </c>
      <c r="G143" t="s">
        <v>20</v>
      </c>
      <c r="H143" t="s">
        <v>15</v>
      </c>
      <c r="I143" s="3">
        <v>90000</v>
      </c>
    </row>
    <row r="144" spans="1:9" x14ac:dyDescent="0.25">
      <c r="A144" t="s">
        <v>167</v>
      </c>
      <c r="B144" s="2">
        <v>46280</v>
      </c>
      <c r="C144" t="s">
        <v>140</v>
      </c>
      <c r="D144" t="s">
        <v>22</v>
      </c>
      <c r="E144" t="s">
        <v>18</v>
      </c>
      <c r="F144" t="s">
        <v>23</v>
      </c>
      <c r="G144" t="s">
        <v>14</v>
      </c>
      <c r="H144" t="s">
        <v>15</v>
      </c>
      <c r="I144" s="3">
        <v>90000</v>
      </c>
    </row>
    <row r="145" spans="1:9" x14ac:dyDescent="0.25">
      <c r="A145" t="s">
        <v>168</v>
      </c>
      <c r="B145" s="2">
        <v>46280</v>
      </c>
      <c r="C145" t="s">
        <v>140</v>
      </c>
      <c r="D145" t="s">
        <v>22</v>
      </c>
      <c r="E145" t="s">
        <v>18</v>
      </c>
      <c r="F145" t="s">
        <v>23</v>
      </c>
      <c r="G145" t="s">
        <v>20</v>
      </c>
      <c r="H145" t="s">
        <v>15</v>
      </c>
      <c r="I145" s="3">
        <v>65000</v>
      </c>
    </row>
    <row r="146" spans="1:9" x14ac:dyDescent="0.25">
      <c r="A146" t="s">
        <v>169</v>
      </c>
      <c r="B146" s="2">
        <v>46281</v>
      </c>
      <c r="C146" t="s">
        <v>140</v>
      </c>
      <c r="D146" t="s">
        <v>17</v>
      </c>
      <c r="E146" t="s">
        <v>18</v>
      </c>
      <c r="F146" t="s">
        <v>19</v>
      </c>
      <c r="G146" t="s">
        <v>20</v>
      </c>
      <c r="H146" t="s">
        <v>15</v>
      </c>
      <c r="I146" s="3">
        <v>50000</v>
      </c>
    </row>
    <row r="147" spans="1:9" x14ac:dyDescent="0.25">
      <c r="A147" t="s">
        <v>170</v>
      </c>
      <c r="B147" s="2">
        <v>46281</v>
      </c>
      <c r="C147" t="s">
        <v>140</v>
      </c>
      <c r="D147" t="s">
        <v>17</v>
      </c>
      <c r="E147" t="s">
        <v>18</v>
      </c>
      <c r="F147" t="s">
        <v>23</v>
      </c>
      <c r="G147" t="s">
        <v>20</v>
      </c>
      <c r="H147" t="s">
        <v>15</v>
      </c>
      <c r="I147" s="3">
        <v>50000</v>
      </c>
    </row>
    <row r="148" spans="1:9" x14ac:dyDescent="0.25">
      <c r="A148" t="s">
        <v>171</v>
      </c>
      <c r="B148" s="2">
        <v>46281</v>
      </c>
      <c r="C148" t="s">
        <v>140</v>
      </c>
      <c r="D148" t="s">
        <v>17</v>
      </c>
      <c r="E148" t="s">
        <v>12</v>
      </c>
      <c r="F148" t="s">
        <v>23</v>
      </c>
      <c r="G148" t="s">
        <v>20</v>
      </c>
      <c r="H148" t="s">
        <v>15</v>
      </c>
      <c r="I148" s="3">
        <v>50000</v>
      </c>
    </row>
    <row r="149" spans="1:9" x14ac:dyDescent="0.25">
      <c r="A149" t="s">
        <v>172</v>
      </c>
      <c r="B149" s="2">
        <v>46281</v>
      </c>
      <c r="C149" t="s">
        <v>140</v>
      </c>
      <c r="D149" t="s">
        <v>11</v>
      </c>
      <c r="E149" t="s">
        <v>18</v>
      </c>
      <c r="F149" t="s">
        <v>13</v>
      </c>
      <c r="G149" t="s">
        <v>14</v>
      </c>
      <c r="H149" t="s">
        <v>15</v>
      </c>
      <c r="I149" s="3">
        <v>80000</v>
      </c>
    </row>
    <row r="150" spans="1:9" x14ac:dyDescent="0.25">
      <c r="A150" t="s">
        <v>173</v>
      </c>
      <c r="B150" s="2">
        <v>46281</v>
      </c>
      <c r="C150" t="s">
        <v>140</v>
      </c>
      <c r="D150" t="s">
        <v>22</v>
      </c>
      <c r="E150" t="s">
        <v>12</v>
      </c>
      <c r="F150" t="s">
        <v>13</v>
      </c>
      <c r="G150" t="s">
        <v>20</v>
      </c>
      <c r="H150" t="s">
        <v>15</v>
      </c>
      <c r="I150" s="3">
        <v>65000</v>
      </c>
    </row>
    <row r="151" spans="1:9" x14ac:dyDescent="0.25">
      <c r="A151" t="s">
        <v>174</v>
      </c>
      <c r="B151" s="2">
        <v>46282</v>
      </c>
      <c r="C151" t="s">
        <v>140</v>
      </c>
      <c r="D151" t="s">
        <v>17</v>
      </c>
      <c r="E151" t="s">
        <v>12</v>
      </c>
      <c r="F151" t="s">
        <v>19</v>
      </c>
      <c r="G151" t="s">
        <v>14</v>
      </c>
      <c r="H151" t="s">
        <v>15</v>
      </c>
      <c r="I151" s="3">
        <v>75000</v>
      </c>
    </row>
    <row r="152" spans="1:9" x14ac:dyDescent="0.25">
      <c r="A152" t="s">
        <v>175</v>
      </c>
      <c r="B152" s="2">
        <v>46282</v>
      </c>
      <c r="C152" t="s">
        <v>140</v>
      </c>
      <c r="D152" t="s">
        <v>17</v>
      </c>
      <c r="E152" t="s">
        <v>18</v>
      </c>
      <c r="F152" t="s">
        <v>23</v>
      </c>
      <c r="G152" t="s">
        <v>20</v>
      </c>
      <c r="H152" t="s">
        <v>15</v>
      </c>
      <c r="I152" s="3">
        <v>75000</v>
      </c>
    </row>
    <row r="153" spans="1:9" x14ac:dyDescent="0.25">
      <c r="A153" t="s">
        <v>176</v>
      </c>
      <c r="B153" s="2">
        <v>46282</v>
      </c>
      <c r="C153" t="s">
        <v>140</v>
      </c>
      <c r="D153" t="s">
        <v>22</v>
      </c>
      <c r="E153" t="s">
        <v>18</v>
      </c>
      <c r="F153" t="s">
        <v>13</v>
      </c>
      <c r="G153" t="s">
        <v>20</v>
      </c>
      <c r="H153" t="s">
        <v>15</v>
      </c>
      <c r="I153" s="3">
        <v>90000</v>
      </c>
    </row>
    <row r="154" spans="1:9" x14ac:dyDescent="0.25">
      <c r="A154" t="s">
        <v>177</v>
      </c>
      <c r="B154" s="2">
        <v>46282</v>
      </c>
      <c r="C154" t="s">
        <v>140</v>
      </c>
      <c r="D154" t="s">
        <v>11</v>
      </c>
      <c r="E154" t="s">
        <v>18</v>
      </c>
      <c r="F154" t="s">
        <v>23</v>
      </c>
      <c r="G154" t="s">
        <v>14</v>
      </c>
      <c r="H154" t="s">
        <v>15</v>
      </c>
      <c r="I154" s="3">
        <v>80000</v>
      </c>
    </row>
    <row r="155" spans="1:9" x14ac:dyDescent="0.25">
      <c r="A155" t="s">
        <v>178</v>
      </c>
      <c r="B155" s="2">
        <v>46282</v>
      </c>
      <c r="C155" t="s">
        <v>140</v>
      </c>
      <c r="D155" t="s">
        <v>22</v>
      </c>
      <c r="E155" t="s">
        <v>18</v>
      </c>
      <c r="F155" t="s">
        <v>13</v>
      </c>
      <c r="G155" t="s">
        <v>20</v>
      </c>
      <c r="H155" t="s">
        <v>15</v>
      </c>
      <c r="I155" s="3">
        <v>65000</v>
      </c>
    </row>
    <row r="156" spans="1:9" x14ac:dyDescent="0.25">
      <c r="A156" t="s">
        <v>179</v>
      </c>
      <c r="B156" s="2">
        <v>46283</v>
      </c>
      <c r="C156" t="s">
        <v>140</v>
      </c>
      <c r="D156" t="s">
        <v>17</v>
      </c>
      <c r="E156" t="s">
        <v>18</v>
      </c>
      <c r="F156" t="s">
        <v>23</v>
      </c>
      <c r="G156" t="s">
        <v>14</v>
      </c>
      <c r="H156" t="s">
        <v>15</v>
      </c>
      <c r="I156" s="3">
        <v>75000</v>
      </c>
    </row>
    <row r="157" spans="1:9" x14ac:dyDescent="0.25">
      <c r="A157" t="s">
        <v>180</v>
      </c>
      <c r="B157" s="2">
        <v>46284</v>
      </c>
      <c r="C157" t="s">
        <v>140</v>
      </c>
      <c r="D157" t="s">
        <v>17</v>
      </c>
      <c r="E157" t="s">
        <v>12</v>
      </c>
      <c r="F157" t="s">
        <v>25</v>
      </c>
      <c r="G157" t="s">
        <v>14</v>
      </c>
      <c r="H157" t="s">
        <v>15</v>
      </c>
      <c r="I157" s="3">
        <v>50000</v>
      </c>
    </row>
    <row r="158" spans="1:9" x14ac:dyDescent="0.25">
      <c r="A158" t="s">
        <v>181</v>
      </c>
      <c r="B158" s="2">
        <v>46284</v>
      </c>
      <c r="C158" t="s">
        <v>140</v>
      </c>
      <c r="D158" t="s">
        <v>17</v>
      </c>
      <c r="E158" t="s">
        <v>18</v>
      </c>
      <c r="F158" t="s">
        <v>13</v>
      </c>
      <c r="G158" t="s">
        <v>14</v>
      </c>
      <c r="H158" t="s">
        <v>15</v>
      </c>
      <c r="I158" s="3">
        <v>75000</v>
      </c>
    </row>
    <row r="159" spans="1:9" x14ac:dyDescent="0.25">
      <c r="A159" t="s">
        <v>182</v>
      </c>
      <c r="B159" s="2">
        <v>46286</v>
      </c>
      <c r="C159" t="s">
        <v>140</v>
      </c>
      <c r="D159" t="s">
        <v>17</v>
      </c>
      <c r="E159" t="s">
        <v>18</v>
      </c>
      <c r="F159" t="s">
        <v>23</v>
      </c>
      <c r="G159" t="s">
        <v>14</v>
      </c>
      <c r="H159" t="s">
        <v>15</v>
      </c>
      <c r="I159" s="3">
        <v>50000</v>
      </c>
    </row>
    <row r="160" spans="1:9" x14ac:dyDescent="0.25">
      <c r="A160" t="s">
        <v>183</v>
      </c>
      <c r="B160" s="2">
        <v>46286</v>
      </c>
      <c r="C160" t="s">
        <v>140</v>
      </c>
      <c r="D160" t="s">
        <v>22</v>
      </c>
      <c r="E160" t="s">
        <v>12</v>
      </c>
      <c r="F160" t="s">
        <v>13</v>
      </c>
      <c r="G160" t="s">
        <v>20</v>
      </c>
      <c r="H160" t="s">
        <v>15</v>
      </c>
      <c r="I160" s="3">
        <v>90000</v>
      </c>
    </row>
    <row r="161" spans="1:9" x14ac:dyDescent="0.25">
      <c r="A161" t="s">
        <v>184</v>
      </c>
      <c r="B161" s="2">
        <v>46286</v>
      </c>
      <c r="C161" t="s">
        <v>140</v>
      </c>
      <c r="D161" t="s">
        <v>17</v>
      </c>
      <c r="E161" t="s">
        <v>12</v>
      </c>
      <c r="F161" t="s">
        <v>23</v>
      </c>
      <c r="G161" t="s">
        <v>20</v>
      </c>
      <c r="H161" t="s">
        <v>15</v>
      </c>
      <c r="I161" s="3">
        <v>75000</v>
      </c>
    </row>
    <row r="162" spans="1:9" x14ac:dyDescent="0.25">
      <c r="A162" t="s">
        <v>185</v>
      </c>
      <c r="B162" s="2">
        <v>46287</v>
      </c>
      <c r="C162" t="s">
        <v>140</v>
      </c>
      <c r="D162" t="s">
        <v>17</v>
      </c>
      <c r="E162" t="s">
        <v>12</v>
      </c>
      <c r="F162" t="s">
        <v>25</v>
      </c>
      <c r="G162" t="s">
        <v>20</v>
      </c>
      <c r="H162" t="s">
        <v>15</v>
      </c>
      <c r="I162" s="3">
        <v>75000</v>
      </c>
    </row>
    <row r="163" spans="1:9" x14ac:dyDescent="0.25">
      <c r="A163" t="s">
        <v>186</v>
      </c>
      <c r="B163" s="2">
        <v>46287</v>
      </c>
      <c r="C163" t="s">
        <v>140</v>
      </c>
      <c r="D163" t="s">
        <v>17</v>
      </c>
      <c r="E163" t="s">
        <v>18</v>
      </c>
      <c r="F163" t="s">
        <v>25</v>
      </c>
      <c r="G163" t="s">
        <v>20</v>
      </c>
      <c r="H163" t="s">
        <v>15</v>
      </c>
      <c r="I163" s="3">
        <v>50000</v>
      </c>
    </row>
    <row r="164" spans="1:9" x14ac:dyDescent="0.25">
      <c r="A164" t="s">
        <v>187</v>
      </c>
      <c r="B164" s="2">
        <v>46287</v>
      </c>
      <c r="C164" t="s">
        <v>140</v>
      </c>
      <c r="D164" t="s">
        <v>17</v>
      </c>
      <c r="E164" t="s">
        <v>18</v>
      </c>
      <c r="F164" t="s">
        <v>13</v>
      </c>
      <c r="G164" t="s">
        <v>20</v>
      </c>
      <c r="H164" t="s">
        <v>60</v>
      </c>
      <c r="I164" s="3">
        <v>0</v>
      </c>
    </row>
    <row r="165" spans="1:9" x14ac:dyDescent="0.25">
      <c r="A165" t="s">
        <v>188</v>
      </c>
      <c r="B165" s="2">
        <v>46288</v>
      </c>
      <c r="C165" t="s">
        <v>140</v>
      </c>
      <c r="D165" t="s">
        <v>17</v>
      </c>
      <c r="E165" t="s">
        <v>12</v>
      </c>
      <c r="F165" t="s">
        <v>19</v>
      </c>
      <c r="G165" t="s">
        <v>20</v>
      </c>
      <c r="H165" t="s">
        <v>15</v>
      </c>
      <c r="I165" s="3">
        <v>75000</v>
      </c>
    </row>
    <row r="166" spans="1:9" x14ac:dyDescent="0.25">
      <c r="A166" t="s">
        <v>189</v>
      </c>
      <c r="B166" s="2">
        <v>46288</v>
      </c>
      <c r="C166" t="s">
        <v>140</v>
      </c>
      <c r="D166" t="s">
        <v>17</v>
      </c>
      <c r="E166" t="s">
        <v>18</v>
      </c>
      <c r="F166" t="s">
        <v>13</v>
      </c>
      <c r="G166" t="s">
        <v>14</v>
      </c>
      <c r="H166" t="s">
        <v>15</v>
      </c>
      <c r="I166" s="3">
        <v>50000</v>
      </c>
    </row>
    <row r="167" spans="1:9" x14ac:dyDescent="0.25">
      <c r="A167" t="s">
        <v>190</v>
      </c>
      <c r="B167" s="2">
        <v>46288</v>
      </c>
      <c r="C167" t="s">
        <v>140</v>
      </c>
      <c r="D167" t="s">
        <v>17</v>
      </c>
      <c r="E167" t="s">
        <v>18</v>
      </c>
      <c r="F167" t="s">
        <v>23</v>
      </c>
      <c r="G167" t="s">
        <v>20</v>
      </c>
      <c r="H167" t="s">
        <v>15</v>
      </c>
      <c r="I167" s="3">
        <v>50000</v>
      </c>
    </row>
    <row r="168" spans="1:9" x14ac:dyDescent="0.25">
      <c r="A168" t="s">
        <v>191</v>
      </c>
      <c r="B168" s="2">
        <v>46288</v>
      </c>
      <c r="C168" t="s">
        <v>140</v>
      </c>
      <c r="D168" t="s">
        <v>11</v>
      </c>
      <c r="E168" t="s">
        <v>12</v>
      </c>
      <c r="F168" t="s">
        <v>23</v>
      </c>
      <c r="G168" t="s">
        <v>20</v>
      </c>
      <c r="H168" t="s">
        <v>15</v>
      </c>
      <c r="I168" s="3">
        <v>80000</v>
      </c>
    </row>
    <row r="169" spans="1:9" x14ac:dyDescent="0.25">
      <c r="A169" t="s">
        <v>192</v>
      </c>
      <c r="B169" s="2">
        <v>46289</v>
      </c>
      <c r="C169" t="s">
        <v>140</v>
      </c>
      <c r="D169" t="s">
        <v>17</v>
      </c>
      <c r="E169" t="s">
        <v>12</v>
      </c>
      <c r="F169" t="s">
        <v>25</v>
      </c>
      <c r="G169" t="s">
        <v>20</v>
      </c>
      <c r="H169" t="s">
        <v>15</v>
      </c>
      <c r="I169" s="3">
        <v>75000</v>
      </c>
    </row>
    <row r="170" spans="1:9" x14ac:dyDescent="0.25">
      <c r="A170" t="s">
        <v>193</v>
      </c>
      <c r="B170" s="2">
        <v>46289</v>
      </c>
      <c r="C170" t="s">
        <v>140</v>
      </c>
      <c r="D170" t="s">
        <v>22</v>
      </c>
      <c r="E170" t="s">
        <v>18</v>
      </c>
      <c r="F170" t="s">
        <v>23</v>
      </c>
      <c r="G170" t="s">
        <v>20</v>
      </c>
      <c r="H170" t="s">
        <v>15</v>
      </c>
      <c r="I170" s="3">
        <v>90000</v>
      </c>
    </row>
    <row r="171" spans="1:9" x14ac:dyDescent="0.25">
      <c r="A171" t="s">
        <v>194</v>
      </c>
      <c r="B171" s="2">
        <v>46290</v>
      </c>
      <c r="C171" t="s">
        <v>140</v>
      </c>
      <c r="D171" t="s">
        <v>22</v>
      </c>
      <c r="E171" t="s">
        <v>18</v>
      </c>
      <c r="F171" t="s">
        <v>23</v>
      </c>
      <c r="G171" t="s">
        <v>20</v>
      </c>
      <c r="H171" t="s">
        <v>15</v>
      </c>
      <c r="I171" s="3">
        <v>90000</v>
      </c>
    </row>
    <row r="172" spans="1:9" x14ac:dyDescent="0.25">
      <c r="A172" t="s">
        <v>195</v>
      </c>
      <c r="B172" s="2">
        <v>46291</v>
      </c>
      <c r="C172" t="s">
        <v>140</v>
      </c>
      <c r="D172" t="s">
        <v>17</v>
      </c>
      <c r="E172" t="s">
        <v>12</v>
      </c>
      <c r="F172" t="s">
        <v>23</v>
      </c>
      <c r="G172" t="s">
        <v>14</v>
      </c>
      <c r="H172" t="s">
        <v>15</v>
      </c>
      <c r="I172" s="3">
        <v>50000</v>
      </c>
    </row>
    <row r="173" spans="1:9" x14ac:dyDescent="0.25">
      <c r="A173" t="s">
        <v>196</v>
      </c>
      <c r="B173" s="2">
        <v>46293</v>
      </c>
      <c r="C173" t="s">
        <v>140</v>
      </c>
      <c r="D173" t="s">
        <v>22</v>
      </c>
      <c r="E173" t="s">
        <v>18</v>
      </c>
      <c r="F173" t="s">
        <v>23</v>
      </c>
      <c r="G173" t="s">
        <v>14</v>
      </c>
      <c r="H173" t="s">
        <v>15</v>
      </c>
      <c r="I173" s="3">
        <v>65000</v>
      </c>
    </row>
    <row r="174" spans="1:9" x14ac:dyDescent="0.25">
      <c r="A174" t="s">
        <v>197</v>
      </c>
      <c r="B174" s="2">
        <v>46293</v>
      </c>
      <c r="C174" t="s">
        <v>140</v>
      </c>
      <c r="D174" t="s">
        <v>11</v>
      </c>
      <c r="E174" t="s">
        <v>12</v>
      </c>
      <c r="F174" t="s">
        <v>23</v>
      </c>
      <c r="G174" t="s">
        <v>14</v>
      </c>
      <c r="H174" t="s">
        <v>15</v>
      </c>
      <c r="I174" s="3">
        <v>80000</v>
      </c>
    </row>
    <row r="175" spans="1:9" x14ac:dyDescent="0.25">
      <c r="A175" t="s">
        <v>198</v>
      </c>
      <c r="B175" s="2">
        <v>46294</v>
      </c>
      <c r="C175" t="s">
        <v>140</v>
      </c>
      <c r="D175" t="s">
        <v>11</v>
      </c>
      <c r="E175" t="s">
        <v>12</v>
      </c>
      <c r="F175" t="s">
        <v>13</v>
      </c>
      <c r="G175" t="s">
        <v>14</v>
      </c>
      <c r="H175" t="s">
        <v>15</v>
      </c>
      <c r="I175" s="3">
        <v>110000</v>
      </c>
    </row>
    <row r="176" spans="1:9" x14ac:dyDescent="0.25">
      <c r="A176" t="s">
        <v>199</v>
      </c>
      <c r="B176" s="2">
        <v>46294</v>
      </c>
      <c r="C176" t="s">
        <v>140</v>
      </c>
      <c r="D176" t="s">
        <v>17</v>
      </c>
      <c r="E176" t="s">
        <v>18</v>
      </c>
      <c r="F176" t="s">
        <v>23</v>
      </c>
      <c r="G176" t="s">
        <v>20</v>
      </c>
      <c r="H176" t="s">
        <v>15</v>
      </c>
      <c r="I176" s="3">
        <v>50000</v>
      </c>
    </row>
    <row r="177" spans="1:9" x14ac:dyDescent="0.25">
      <c r="A177" t="s">
        <v>200</v>
      </c>
      <c r="B177" s="2">
        <v>46294</v>
      </c>
      <c r="C177" t="s">
        <v>140</v>
      </c>
      <c r="D177" t="s">
        <v>11</v>
      </c>
      <c r="E177" t="s">
        <v>12</v>
      </c>
      <c r="F177" t="s">
        <v>23</v>
      </c>
      <c r="G177" t="s">
        <v>20</v>
      </c>
      <c r="H177" t="s">
        <v>15</v>
      </c>
      <c r="I177" s="3">
        <v>80000</v>
      </c>
    </row>
    <row r="178" spans="1:9" x14ac:dyDescent="0.25">
      <c r="A178" t="s">
        <v>201</v>
      </c>
      <c r="B178" s="2">
        <v>46294</v>
      </c>
      <c r="C178" t="s">
        <v>140</v>
      </c>
      <c r="D178" t="s">
        <v>22</v>
      </c>
      <c r="E178" t="s">
        <v>18</v>
      </c>
      <c r="F178" t="s">
        <v>23</v>
      </c>
      <c r="G178" t="s">
        <v>20</v>
      </c>
      <c r="H178" t="s">
        <v>15</v>
      </c>
      <c r="I178" s="3">
        <v>65000</v>
      </c>
    </row>
    <row r="179" spans="1:9" x14ac:dyDescent="0.25">
      <c r="A179" t="s">
        <v>202</v>
      </c>
      <c r="B179" s="2">
        <v>46295</v>
      </c>
      <c r="C179" t="s">
        <v>140</v>
      </c>
      <c r="D179" t="s">
        <v>11</v>
      </c>
      <c r="E179" t="s">
        <v>18</v>
      </c>
      <c r="F179" t="s">
        <v>23</v>
      </c>
      <c r="G179" t="s">
        <v>14</v>
      </c>
      <c r="H179" t="s">
        <v>15</v>
      </c>
      <c r="I179" s="3">
        <v>110000</v>
      </c>
    </row>
    <row r="180" spans="1:9" x14ac:dyDescent="0.25">
      <c r="A180" t="s">
        <v>203</v>
      </c>
      <c r="B180" s="2">
        <v>46295</v>
      </c>
      <c r="C180" t="s">
        <v>140</v>
      </c>
      <c r="D180" t="s">
        <v>17</v>
      </c>
      <c r="E180" t="s">
        <v>12</v>
      </c>
      <c r="F180" t="s">
        <v>13</v>
      </c>
      <c r="G180" t="s">
        <v>20</v>
      </c>
      <c r="H180" t="s">
        <v>15</v>
      </c>
      <c r="I180" s="3">
        <v>50000</v>
      </c>
    </row>
    <row r="181" spans="1:9" x14ac:dyDescent="0.25">
      <c r="A181" t="s">
        <v>204</v>
      </c>
      <c r="B181" s="2">
        <v>46295</v>
      </c>
      <c r="C181" t="s">
        <v>140</v>
      </c>
      <c r="D181" t="s">
        <v>11</v>
      </c>
      <c r="E181" t="s">
        <v>18</v>
      </c>
      <c r="F181" t="s">
        <v>23</v>
      </c>
      <c r="G181" t="s">
        <v>14</v>
      </c>
      <c r="H181" t="s">
        <v>15</v>
      </c>
      <c r="I181" s="3">
        <v>80000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E894E-0E09-4897-A8FD-6DDDBE0E1274}">
  <dimension ref="A3:L31"/>
  <sheetViews>
    <sheetView workbookViewId="0">
      <selection activeCell="M26" sqref="M26"/>
    </sheetView>
  </sheetViews>
  <sheetFormatPr defaultRowHeight="15" x14ac:dyDescent="0.25"/>
  <cols>
    <col min="1" max="1" width="13.140625" bestFit="1" customWidth="1"/>
    <col min="2" max="2" width="17.42578125" bestFit="1" customWidth="1"/>
    <col min="3" max="3" width="7.5703125" bestFit="1" customWidth="1"/>
    <col min="4" max="4" width="11.28515625" bestFit="1" customWidth="1"/>
    <col min="5" max="5" width="17.42578125" bestFit="1" customWidth="1"/>
    <col min="6" max="6" width="8.42578125" style="6" bestFit="1" customWidth="1"/>
    <col min="7" max="7" width="7.7109375" style="6" bestFit="1" customWidth="1"/>
    <col min="8" max="8" width="10.7109375" style="6" bestFit="1" customWidth="1"/>
    <col min="9" max="9" width="15.42578125" style="6" bestFit="1" customWidth="1"/>
    <col min="10" max="10" width="16.5703125" bestFit="1" customWidth="1"/>
    <col min="11" max="11" width="19.85546875" bestFit="1" customWidth="1"/>
    <col min="12" max="12" width="21.7109375" customWidth="1"/>
  </cols>
  <sheetData>
    <row r="3" spans="1:12" x14ac:dyDescent="0.25">
      <c r="A3" s="4" t="s">
        <v>3</v>
      </c>
      <c r="B3" s="6" t="s">
        <v>206</v>
      </c>
      <c r="E3" s="4" t="s">
        <v>206</v>
      </c>
      <c r="F3" s="7" t="s">
        <v>207</v>
      </c>
    </row>
    <row r="4" spans="1:12" x14ac:dyDescent="0.25">
      <c r="A4" s="5" t="s">
        <v>17</v>
      </c>
      <c r="B4">
        <v>89</v>
      </c>
      <c r="E4" s="4" t="s">
        <v>2</v>
      </c>
      <c r="F4" s="6" t="s">
        <v>11</v>
      </c>
      <c r="G4" s="6" t="s">
        <v>22</v>
      </c>
      <c r="H4" s="6" t="s">
        <v>17</v>
      </c>
      <c r="I4" s="6" t="s">
        <v>208</v>
      </c>
    </row>
    <row r="5" spans="1:12" x14ac:dyDescent="0.25">
      <c r="A5" s="5" t="s">
        <v>11</v>
      </c>
      <c r="B5">
        <v>48</v>
      </c>
      <c r="E5" s="5" t="s">
        <v>10</v>
      </c>
      <c r="F5" s="6">
        <v>20</v>
      </c>
      <c r="G5" s="6">
        <v>9</v>
      </c>
      <c r="H5" s="6">
        <v>26</v>
      </c>
      <c r="I5" s="6">
        <v>55</v>
      </c>
    </row>
    <row r="6" spans="1:12" x14ac:dyDescent="0.25">
      <c r="A6" s="5" t="s">
        <v>22</v>
      </c>
      <c r="B6">
        <v>43</v>
      </c>
      <c r="E6" s="5" t="s">
        <v>79</v>
      </c>
      <c r="F6" s="6">
        <v>15</v>
      </c>
      <c r="G6" s="6">
        <v>14</v>
      </c>
      <c r="H6" s="6">
        <v>31</v>
      </c>
      <c r="I6" s="6">
        <v>60</v>
      </c>
    </row>
    <row r="7" spans="1:12" x14ac:dyDescent="0.25">
      <c r="A7" s="5" t="s">
        <v>205</v>
      </c>
      <c r="B7">
        <v>180</v>
      </c>
      <c r="E7" s="5" t="s">
        <v>140</v>
      </c>
      <c r="F7" s="6">
        <v>13</v>
      </c>
      <c r="G7" s="6">
        <v>20</v>
      </c>
      <c r="H7" s="6">
        <v>32</v>
      </c>
      <c r="I7" s="6">
        <v>65</v>
      </c>
    </row>
    <row r="8" spans="1:12" x14ac:dyDescent="0.25">
      <c r="E8" s="5" t="s">
        <v>208</v>
      </c>
      <c r="F8" s="6">
        <v>48</v>
      </c>
      <c r="G8" s="6">
        <v>43</v>
      </c>
      <c r="H8" s="6">
        <v>89</v>
      </c>
      <c r="I8" s="6">
        <v>180</v>
      </c>
    </row>
    <row r="12" spans="1:12" x14ac:dyDescent="0.25">
      <c r="A12" s="4" t="s">
        <v>210</v>
      </c>
      <c r="B12" t="s">
        <v>209</v>
      </c>
      <c r="F12" s="4" t="s">
        <v>7</v>
      </c>
      <c r="G12" t="s">
        <v>15</v>
      </c>
      <c r="J12" s="4" t="s">
        <v>7</v>
      </c>
      <c r="K12" t="s">
        <v>15</v>
      </c>
      <c r="L12" s="6"/>
    </row>
    <row r="13" spans="1:12" x14ac:dyDescent="0.25">
      <c r="F13"/>
      <c r="K13" s="6"/>
      <c r="L13" s="6"/>
    </row>
    <row r="14" spans="1:12" x14ac:dyDescent="0.25">
      <c r="A14" s="4" t="s">
        <v>206</v>
      </c>
      <c r="B14" s="4" t="s">
        <v>7</v>
      </c>
      <c r="F14" s="4" t="s">
        <v>3</v>
      </c>
      <c r="G14" t="s">
        <v>211</v>
      </c>
      <c r="H14" t="s">
        <v>212</v>
      </c>
      <c r="J14" s="4" t="s">
        <v>3</v>
      </c>
      <c r="K14" t="s">
        <v>211</v>
      </c>
    </row>
    <row r="15" spans="1:12" x14ac:dyDescent="0.25">
      <c r="A15" s="4" t="s">
        <v>6</v>
      </c>
      <c r="B15" t="s">
        <v>60</v>
      </c>
      <c r="C15" t="s">
        <v>15</v>
      </c>
      <c r="D15" t="s">
        <v>205</v>
      </c>
      <c r="F15" s="5" t="s">
        <v>17</v>
      </c>
      <c r="G15" s="3">
        <v>5150000</v>
      </c>
      <c r="H15" s="8">
        <v>0.41134185303514376</v>
      </c>
      <c r="J15" s="5" t="s">
        <v>17</v>
      </c>
      <c r="K15" s="3">
        <v>5150000</v>
      </c>
    </row>
    <row r="16" spans="1:12" x14ac:dyDescent="0.25">
      <c r="A16" s="5" t="s">
        <v>20</v>
      </c>
      <c r="B16">
        <v>8</v>
      </c>
      <c r="C16">
        <v>101</v>
      </c>
      <c r="D16">
        <v>109</v>
      </c>
      <c r="F16" s="5" t="s">
        <v>11</v>
      </c>
      <c r="G16" s="3">
        <v>4230000</v>
      </c>
      <c r="H16" s="8">
        <v>0.33785942492012777</v>
      </c>
      <c r="J16" s="5" t="s">
        <v>11</v>
      </c>
      <c r="K16" s="3">
        <v>4230000</v>
      </c>
    </row>
    <row r="17" spans="1:11" x14ac:dyDescent="0.25">
      <c r="A17" s="5" t="s">
        <v>14</v>
      </c>
      <c r="B17">
        <v>3</v>
      </c>
      <c r="C17">
        <v>68</v>
      </c>
      <c r="D17">
        <v>71</v>
      </c>
      <c r="F17" s="5" t="s">
        <v>22</v>
      </c>
      <c r="G17" s="3">
        <v>3140000</v>
      </c>
      <c r="H17" s="8">
        <v>0.25079872204472842</v>
      </c>
      <c r="J17" s="5" t="s">
        <v>22</v>
      </c>
      <c r="K17" s="3">
        <v>3140000</v>
      </c>
    </row>
    <row r="18" spans="1:11" x14ac:dyDescent="0.25">
      <c r="A18" s="5" t="s">
        <v>205</v>
      </c>
      <c r="B18">
        <v>11</v>
      </c>
      <c r="C18">
        <v>169</v>
      </c>
      <c r="D18">
        <v>180</v>
      </c>
      <c r="F18" s="5" t="s">
        <v>205</v>
      </c>
      <c r="G18" s="3">
        <v>12520000</v>
      </c>
      <c r="H18" s="8">
        <v>1</v>
      </c>
      <c r="J18" s="5" t="s">
        <v>205</v>
      </c>
      <c r="K18" s="3">
        <v>12520000</v>
      </c>
    </row>
    <row r="19" spans="1:11" x14ac:dyDescent="0.25">
      <c r="F19"/>
      <c r="G19"/>
    </row>
    <row r="20" spans="1:11" x14ac:dyDescent="0.25">
      <c r="F20"/>
      <c r="G20"/>
    </row>
    <row r="21" spans="1:11" x14ac:dyDescent="0.25">
      <c r="F21"/>
      <c r="G21"/>
    </row>
    <row r="22" spans="1:11" x14ac:dyDescent="0.25">
      <c r="F22"/>
      <c r="G22"/>
    </row>
    <row r="23" spans="1:11" x14ac:dyDescent="0.25">
      <c r="F23"/>
      <c r="G23"/>
    </row>
    <row r="24" spans="1:11" x14ac:dyDescent="0.25">
      <c r="F24"/>
      <c r="G24"/>
    </row>
    <row r="25" spans="1:11" x14ac:dyDescent="0.25">
      <c r="F25"/>
      <c r="G25"/>
    </row>
    <row r="26" spans="1:11" x14ac:dyDescent="0.25">
      <c r="F26"/>
      <c r="G26"/>
    </row>
    <row r="27" spans="1:11" x14ac:dyDescent="0.25">
      <c r="A27" s="4" t="s">
        <v>219</v>
      </c>
      <c r="B27" t="s">
        <v>220</v>
      </c>
      <c r="C27" t="s">
        <v>221</v>
      </c>
      <c r="F27"/>
      <c r="G27"/>
    </row>
    <row r="28" spans="1:11" x14ac:dyDescent="0.25">
      <c r="A28" s="5" t="s">
        <v>60</v>
      </c>
      <c r="B28">
        <v>11</v>
      </c>
      <c r="C28" s="3">
        <v>0</v>
      </c>
      <c r="F28"/>
      <c r="G28"/>
    </row>
    <row r="29" spans="1:11" x14ac:dyDescent="0.25">
      <c r="A29" s="5" t="s">
        <v>15</v>
      </c>
      <c r="B29">
        <v>169</v>
      </c>
      <c r="C29" s="3">
        <v>12520000</v>
      </c>
      <c r="F29"/>
      <c r="G29"/>
    </row>
    <row r="30" spans="1:11" x14ac:dyDescent="0.25">
      <c r="A30" s="5" t="s">
        <v>205</v>
      </c>
      <c r="B30">
        <v>180</v>
      </c>
      <c r="C30" s="3">
        <v>12520000</v>
      </c>
      <c r="F30"/>
      <c r="G30"/>
    </row>
    <row r="31" spans="1:11" x14ac:dyDescent="0.25">
      <c r="F31"/>
      <c r="G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13C11-E922-4132-B211-091107318ECA}">
  <sheetPr>
    <pageSetUpPr fitToPage="1"/>
  </sheetPr>
  <dimension ref="B1:R49"/>
  <sheetViews>
    <sheetView tabSelected="1" zoomScale="80" zoomScaleNormal="80" workbookViewId="0"/>
  </sheetViews>
  <sheetFormatPr defaultRowHeight="15" x14ac:dyDescent="0.25"/>
  <cols>
    <col min="2" max="9" width="11.28515625" customWidth="1"/>
    <col min="10" max="10" width="3.7109375" customWidth="1"/>
    <col min="11" max="18" width="11.28515625" customWidth="1"/>
  </cols>
  <sheetData>
    <row r="1" spans="2:18" ht="21.95" customHeight="1" x14ac:dyDescent="0.25">
      <c r="B1" s="9"/>
      <c r="C1" s="9"/>
      <c r="D1" s="9"/>
      <c r="E1" s="9"/>
      <c r="F1" s="9"/>
      <c r="G1" s="9"/>
      <c r="H1" s="9"/>
      <c r="I1" s="9"/>
      <c r="J1" s="9"/>
      <c r="K1" s="9"/>
      <c r="L1" s="9"/>
      <c r="M1" s="9"/>
      <c r="N1" s="9"/>
      <c r="O1" s="9"/>
      <c r="P1" s="9"/>
      <c r="Q1" s="9"/>
      <c r="R1" s="9"/>
    </row>
    <row r="2" spans="2:18" ht="21.95" customHeight="1" x14ac:dyDescent="0.25">
      <c r="B2" s="13" t="s">
        <v>213</v>
      </c>
      <c r="C2" s="13"/>
      <c r="D2" s="13"/>
      <c r="E2" s="13"/>
      <c r="F2" s="13"/>
      <c r="G2" s="13"/>
      <c r="H2" s="13"/>
      <c r="I2" s="13"/>
      <c r="J2" s="13"/>
      <c r="K2" s="13"/>
      <c r="L2" s="13"/>
      <c r="M2" s="13"/>
      <c r="N2" s="13"/>
      <c r="O2" s="13"/>
      <c r="P2" s="13"/>
      <c r="Q2" s="13"/>
      <c r="R2" s="13"/>
    </row>
    <row r="3" spans="2:18" ht="21.95" customHeight="1" x14ac:dyDescent="0.25">
      <c r="B3" s="13"/>
      <c r="C3" s="13"/>
      <c r="D3" s="13"/>
      <c r="E3" s="13"/>
      <c r="F3" s="13"/>
      <c r="G3" s="13"/>
      <c r="H3" s="13"/>
      <c r="I3" s="13"/>
      <c r="J3" s="13"/>
      <c r="K3" s="13"/>
      <c r="L3" s="13"/>
      <c r="M3" s="13"/>
      <c r="N3" s="13"/>
      <c r="O3" s="13"/>
      <c r="P3" s="13"/>
      <c r="Q3" s="13"/>
      <c r="R3" s="13"/>
    </row>
    <row r="4" spans="2:18" ht="21.95" customHeight="1" x14ac:dyDescent="0.25">
      <c r="B4" s="14" t="s">
        <v>214</v>
      </c>
      <c r="C4" s="14"/>
      <c r="D4" s="14"/>
      <c r="E4" s="14"/>
      <c r="F4" s="14"/>
      <c r="G4" s="14"/>
      <c r="H4" s="14"/>
      <c r="I4" s="14"/>
      <c r="J4" s="14"/>
      <c r="K4" s="14"/>
      <c r="L4" s="14"/>
      <c r="M4" s="14"/>
      <c r="N4" s="14"/>
      <c r="O4" s="14"/>
      <c r="P4" s="14"/>
      <c r="Q4" s="14"/>
      <c r="R4" s="14"/>
    </row>
    <row r="5" spans="2:18" ht="21.95" customHeight="1" x14ac:dyDescent="0.25">
      <c r="B5" s="9"/>
      <c r="C5" s="9"/>
      <c r="D5" s="9"/>
      <c r="E5" s="9"/>
      <c r="F5" s="9"/>
      <c r="G5" s="9"/>
      <c r="H5" s="9"/>
      <c r="I5" s="9"/>
      <c r="J5" s="9"/>
      <c r="K5" s="9"/>
      <c r="L5" s="9"/>
      <c r="M5" s="9"/>
      <c r="N5" s="9"/>
      <c r="O5" s="9"/>
      <c r="P5" s="9"/>
      <c r="Q5" s="9"/>
      <c r="R5" s="9"/>
    </row>
    <row r="6" spans="2:18" ht="21.95" customHeight="1" x14ac:dyDescent="0.25">
      <c r="B6" s="10" t="s">
        <v>215</v>
      </c>
      <c r="C6" s="10"/>
      <c r="D6" s="10"/>
      <c r="E6" s="9"/>
      <c r="F6" s="10" t="s">
        <v>216</v>
      </c>
      <c r="G6" s="10"/>
      <c r="H6" s="10"/>
      <c r="I6" s="9"/>
      <c r="J6" s="9"/>
      <c r="K6" s="10" t="s">
        <v>217</v>
      </c>
      <c r="L6" s="10"/>
      <c r="M6" s="10"/>
      <c r="N6" s="9"/>
      <c r="O6" s="10" t="s">
        <v>218</v>
      </c>
      <c r="P6" s="10"/>
      <c r="Q6" s="10"/>
      <c r="R6" s="9"/>
    </row>
    <row r="7" spans="2:18" ht="21.95" customHeight="1" x14ac:dyDescent="0.25">
      <c r="B7" s="15">
        <f>IFERROR(GETPIVOTDATA("Jumlah Kunjungan KPI",PIVOT_ANALISIS!$A$27),0)</f>
        <v>180</v>
      </c>
      <c r="C7" s="15"/>
      <c r="D7" s="15"/>
      <c r="E7" s="9"/>
      <c r="F7" s="15">
        <f>IFERROR(GETPIVOTDATA("Jumlah Kunjungan KPI",PIVOT_ANALISIS!$A$27,"Status Kunjungan","Selesai"),0)</f>
        <v>169</v>
      </c>
      <c r="G7" s="15"/>
      <c r="H7" s="15"/>
      <c r="I7" s="9"/>
      <c r="J7" s="9"/>
      <c r="K7" s="15">
        <f>IFERROR(GETPIVOTDATA("Jumlah Kunjungan KPI",PIVOT_ANALISIS!$A$27,"Status Kunjungan","Batal"),0)</f>
        <v>11</v>
      </c>
      <c r="L7" s="15"/>
      <c r="M7" s="15"/>
      <c r="N7" s="9"/>
      <c r="O7" s="11">
        <f>IFERROR(GETPIVOTDATA("Nilai Pelayanan KPI",PIVOT_ANALISIS!$A$27),0)</f>
        <v>12520000</v>
      </c>
      <c r="P7" s="11"/>
      <c r="Q7" s="11"/>
      <c r="R7" s="9"/>
    </row>
    <row r="8" spans="2:18" ht="21.95" customHeight="1" x14ac:dyDescent="0.25">
      <c r="B8" s="15"/>
      <c r="C8" s="15"/>
      <c r="D8" s="15"/>
      <c r="E8" s="9"/>
      <c r="F8" s="15"/>
      <c r="G8" s="15"/>
      <c r="H8" s="15"/>
      <c r="I8" s="9"/>
      <c r="J8" s="9"/>
      <c r="K8" s="15"/>
      <c r="L8" s="15"/>
      <c r="M8" s="15"/>
      <c r="N8" s="9"/>
      <c r="O8" s="11"/>
      <c r="P8" s="11"/>
      <c r="Q8" s="11"/>
      <c r="R8" s="9"/>
    </row>
    <row r="9" spans="2:18" ht="21.95" customHeight="1" x14ac:dyDescent="0.25">
      <c r="B9" s="15"/>
      <c r="C9" s="15"/>
      <c r="D9" s="15"/>
      <c r="E9" s="9"/>
      <c r="F9" s="15"/>
      <c r="G9" s="15"/>
      <c r="H9" s="15"/>
      <c r="I9" s="9"/>
      <c r="J9" s="9"/>
      <c r="K9" s="15"/>
      <c r="L9" s="15"/>
      <c r="M9" s="15"/>
      <c r="N9" s="9"/>
      <c r="O9" s="11"/>
      <c r="P9" s="11"/>
      <c r="Q9" s="11"/>
      <c r="R9" s="9"/>
    </row>
    <row r="10" spans="2:18" ht="21.95" customHeight="1" x14ac:dyDescent="0.25">
      <c r="B10" s="9"/>
      <c r="C10" s="9"/>
      <c r="D10" s="9"/>
      <c r="E10" s="9"/>
      <c r="F10" s="9"/>
      <c r="G10" s="9"/>
      <c r="H10" s="9"/>
      <c r="I10" s="9"/>
      <c r="J10" s="9"/>
      <c r="K10" s="9"/>
      <c r="L10" s="9"/>
      <c r="M10" s="9"/>
      <c r="N10" s="9"/>
      <c r="O10" s="9"/>
      <c r="P10" s="9"/>
      <c r="Q10" s="9"/>
      <c r="R10" s="9"/>
    </row>
    <row r="11" spans="2:18" ht="21.95" customHeight="1" x14ac:dyDescent="0.25">
      <c r="B11" s="9"/>
      <c r="C11" s="9"/>
      <c r="D11" s="9"/>
      <c r="E11" s="9"/>
      <c r="F11" s="9"/>
      <c r="G11" s="9"/>
      <c r="H11" s="9"/>
      <c r="I11" s="9"/>
      <c r="J11" s="9"/>
      <c r="K11" s="9"/>
      <c r="L11" s="9"/>
      <c r="M11" s="9"/>
      <c r="N11" s="9"/>
      <c r="O11" s="9"/>
      <c r="P11" s="9"/>
      <c r="Q11" s="9"/>
      <c r="R11" s="9"/>
    </row>
    <row r="12" spans="2:18" ht="21.95" customHeight="1" x14ac:dyDescent="0.25">
      <c r="B12" s="9"/>
      <c r="C12" s="9"/>
      <c r="D12" s="9"/>
      <c r="E12" s="9"/>
      <c r="F12" s="9"/>
      <c r="G12" s="9"/>
      <c r="H12" s="9"/>
      <c r="I12" s="9"/>
      <c r="J12" s="9"/>
      <c r="K12" s="9"/>
      <c r="L12" s="9"/>
      <c r="M12" s="9"/>
      <c r="N12" s="9"/>
      <c r="O12" s="9"/>
      <c r="P12" s="9"/>
      <c r="Q12" s="9"/>
      <c r="R12" s="9"/>
    </row>
    <row r="13" spans="2:18" ht="21.95" customHeight="1" x14ac:dyDescent="0.25">
      <c r="B13" s="9"/>
      <c r="C13" s="9"/>
      <c r="D13" s="9"/>
      <c r="E13" s="9"/>
      <c r="F13" s="9"/>
      <c r="G13" s="9"/>
      <c r="H13" s="9"/>
      <c r="I13" s="9"/>
      <c r="J13" s="9"/>
      <c r="K13" s="9"/>
      <c r="L13" s="9"/>
      <c r="M13" s="9"/>
      <c r="N13" s="9"/>
      <c r="O13" s="9"/>
      <c r="P13" s="9"/>
      <c r="Q13" s="9"/>
      <c r="R13" s="9"/>
    </row>
    <row r="14" spans="2:18" ht="21.95" customHeight="1" x14ac:dyDescent="0.25">
      <c r="B14" s="9"/>
      <c r="C14" s="9"/>
      <c r="D14" s="9"/>
      <c r="E14" s="9"/>
      <c r="F14" s="9"/>
      <c r="G14" s="9"/>
      <c r="H14" s="9"/>
      <c r="I14" s="9"/>
      <c r="J14" s="9"/>
      <c r="K14" s="9"/>
      <c r="L14" s="9"/>
      <c r="M14" s="9"/>
      <c r="N14" s="9"/>
      <c r="O14" s="9"/>
      <c r="P14" s="9"/>
      <c r="Q14" s="9"/>
      <c r="R14" s="9"/>
    </row>
    <row r="15" spans="2:18" ht="21.95" customHeight="1" x14ac:dyDescent="0.25">
      <c r="B15" s="9"/>
      <c r="C15" s="9"/>
      <c r="D15" s="9"/>
      <c r="E15" s="9"/>
      <c r="F15" s="9"/>
      <c r="G15" s="9"/>
      <c r="H15" s="9"/>
      <c r="I15" s="9"/>
      <c r="J15" s="9"/>
      <c r="K15" s="9"/>
      <c r="L15" s="9"/>
      <c r="M15" s="9"/>
      <c r="N15" s="9"/>
      <c r="O15" s="9"/>
      <c r="P15" s="9"/>
      <c r="Q15" s="9"/>
      <c r="R15" s="9"/>
    </row>
    <row r="16" spans="2:18" ht="21.95" customHeight="1" x14ac:dyDescent="0.25">
      <c r="B16" s="9"/>
      <c r="C16" s="9"/>
      <c r="D16" s="9"/>
      <c r="E16" s="9"/>
      <c r="F16" s="9"/>
      <c r="G16" s="9"/>
      <c r="H16" s="9"/>
      <c r="I16" s="9"/>
      <c r="J16" s="9"/>
      <c r="K16" s="9"/>
      <c r="L16" s="9"/>
      <c r="M16" s="9"/>
      <c r="N16" s="9"/>
      <c r="O16" s="9"/>
      <c r="P16" s="9"/>
      <c r="Q16" s="9"/>
      <c r="R16" s="9"/>
    </row>
    <row r="17" spans="2:18" ht="21.95" customHeight="1" x14ac:dyDescent="0.25">
      <c r="B17" s="9"/>
      <c r="C17" s="9"/>
      <c r="D17" s="9"/>
      <c r="E17" s="9"/>
      <c r="F17" s="9"/>
      <c r="G17" s="9"/>
      <c r="H17" s="9"/>
      <c r="I17" s="9"/>
      <c r="J17" s="9"/>
      <c r="K17" s="9"/>
      <c r="L17" s="9"/>
      <c r="M17" s="9"/>
      <c r="N17" s="9"/>
      <c r="O17" s="9"/>
      <c r="P17" s="9"/>
      <c r="Q17" s="9"/>
      <c r="R17" s="9"/>
    </row>
    <row r="18" spans="2:18" ht="21.95" customHeight="1" x14ac:dyDescent="0.25">
      <c r="B18" s="9"/>
      <c r="C18" s="9"/>
      <c r="D18" s="9"/>
      <c r="E18" s="9"/>
      <c r="F18" s="9"/>
      <c r="G18" s="9"/>
      <c r="H18" s="9"/>
      <c r="I18" s="9"/>
      <c r="J18" s="9"/>
      <c r="K18" s="9"/>
      <c r="L18" s="9"/>
      <c r="M18" s="9"/>
      <c r="N18" s="9"/>
      <c r="O18" s="9"/>
      <c r="P18" s="9"/>
      <c r="Q18" s="9"/>
      <c r="R18" s="9"/>
    </row>
    <row r="19" spans="2:18" ht="21.95" customHeight="1" x14ac:dyDescent="0.25">
      <c r="B19" s="9"/>
      <c r="C19" s="9"/>
      <c r="D19" s="9"/>
      <c r="E19" s="9"/>
      <c r="F19" s="9"/>
      <c r="G19" s="9"/>
      <c r="H19" s="9"/>
      <c r="I19" s="9"/>
      <c r="J19" s="9"/>
      <c r="K19" s="9"/>
      <c r="L19" s="9"/>
      <c r="M19" s="9"/>
      <c r="N19" s="9"/>
      <c r="O19" s="9"/>
      <c r="P19" s="9"/>
      <c r="Q19" s="9"/>
      <c r="R19" s="9"/>
    </row>
    <row r="20" spans="2:18" ht="21.95" customHeight="1" x14ac:dyDescent="0.25">
      <c r="B20" s="9"/>
      <c r="C20" s="9"/>
      <c r="D20" s="9"/>
      <c r="E20" s="9"/>
      <c r="F20" s="9"/>
      <c r="G20" s="9"/>
      <c r="H20" s="9"/>
      <c r="I20" s="9"/>
      <c r="J20" s="9"/>
      <c r="K20" s="9"/>
      <c r="L20" s="9"/>
      <c r="M20" s="9"/>
      <c r="N20" s="9"/>
      <c r="O20" s="9"/>
      <c r="P20" s="9"/>
      <c r="Q20" s="9"/>
      <c r="R20" s="9"/>
    </row>
    <row r="21" spans="2:18" ht="21.95" customHeight="1" x14ac:dyDescent="0.25">
      <c r="B21" s="9"/>
      <c r="C21" s="9"/>
      <c r="D21" s="9"/>
      <c r="E21" s="9"/>
      <c r="F21" s="9"/>
      <c r="G21" s="9"/>
      <c r="H21" s="9"/>
      <c r="I21" s="9"/>
      <c r="J21" s="9"/>
      <c r="K21" s="9"/>
      <c r="L21" s="9"/>
      <c r="M21" s="9"/>
      <c r="N21" s="9"/>
      <c r="O21" s="9"/>
      <c r="P21" s="9"/>
      <c r="Q21" s="9"/>
      <c r="R21" s="9"/>
    </row>
    <row r="22" spans="2:18" ht="21.95" customHeight="1" x14ac:dyDescent="0.25">
      <c r="B22" s="9"/>
      <c r="C22" s="9"/>
      <c r="D22" s="9"/>
      <c r="E22" s="9"/>
      <c r="F22" s="9"/>
      <c r="G22" s="9"/>
      <c r="H22" s="9"/>
      <c r="I22" s="9"/>
      <c r="J22" s="9"/>
      <c r="K22" s="9"/>
      <c r="L22" s="9"/>
      <c r="M22" s="9"/>
      <c r="N22" s="9"/>
      <c r="O22" s="9"/>
      <c r="P22" s="9"/>
      <c r="Q22" s="9"/>
      <c r="R22" s="9"/>
    </row>
    <row r="23" spans="2:18" ht="21.95" customHeight="1" x14ac:dyDescent="0.25">
      <c r="B23" s="9"/>
      <c r="C23" s="9"/>
      <c r="D23" s="9"/>
      <c r="E23" s="9"/>
      <c r="F23" s="9"/>
      <c r="G23" s="9"/>
      <c r="H23" s="9"/>
      <c r="I23" s="9"/>
      <c r="J23" s="9"/>
      <c r="K23" s="9"/>
      <c r="L23" s="9"/>
      <c r="M23" s="9"/>
      <c r="N23" s="9"/>
      <c r="O23" s="9"/>
      <c r="P23" s="9"/>
      <c r="Q23" s="9"/>
      <c r="R23" s="9"/>
    </row>
    <row r="24" spans="2:18" ht="21.95" customHeight="1" x14ac:dyDescent="0.25">
      <c r="B24" s="9"/>
      <c r="C24" s="9"/>
      <c r="D24" s="9"/>
      <c r="E24" s="9"/>
      <c r="F24" s="9"/>
      <c r="G24" s="9"/>
      <c r="H24" s="9"/>
      <c r="I24" s="9"/>
      <c r="J24" s="9"/>
      <c r="K24" s="9"/>
      <c r="L24" s="9"/>
      <c r="M24" s="9"/>
      <c r="N24" s="9"/>
      <c r="O24" s="9"/>
      <c r="P24" s="9"/>
      <c r="Q24" s="9"/>
      <c r="R24" s="9"/>
    </row>
    <row r="25" spans="2:18" ht="21.95" customHeight="1" x14ac:dyDescent="0.25">
      <c r="B25" s="9"/>
      <c r="C25" s="9"/>
      <c r="D25" s="9"/>
      <c r="E25" s="9"/>
      <c r="F25" s="9"/>
      <c r="G25" s="9"/>
      <c r="H25" s="9"/>
      <c r="I25" s="9"/>
      <c r="J25" s="9"/>
      <c r="K25" s="9"/>
      <c r="L25" s="9"/>
      <c r="M25" s="9"/>
      <c r="N25" s="9"/>
      <c r="O25" s="9"/>
      <c r="P25" s="9"/>
      <c r="Q25" s="9"/>
      <c r="R25" s="9"/>
    </row>
    <row r="26" spans="2:18" ht="21.95" customHeight="1" x14ac:dyDescent="0.25">
      <c r="B26" s="9"/>
      <c r="C26" s="9"/>
      <c r="D26" s="9"/>
      <c r="E26" s="9"/>
      <c r="F26" s="9"/>
      <c r="G26" s="9"/>
      <c r="H26" s="9"/>
      <c r="I26" s="9"/>
      <c r="J26" s="9"/>
      <c r="K26" s="9"/>
      <c r="L26" s="9"/>
      <c r="M26" s="9"/>
      <c r="N26" s="9"/>
      <c r="O26" s="9"/>
      <c r="P26" s="9"/>
      <c r="Q26" s="9"/>
      <c r="R26" s="9"/>
    </row>
    <row r="27" spans="2:18" ht="21.95" customHeight="1" x14ac:dyDescent="0.25">
      <c r="B27" s="9"/>
      <c r="C27" s="9"/>
      <c r="D27" s="9"/>
      <c r="E27" s="9"/>
      <c r="F27" s="9"/>
      <c r="G27" s="9"/>
      <c r="H27" s="9"/>
      <c r="I27" s="9"/>
      <c r="J27" s="9"/>
      <c r="K27" s="9"/>
      <c r="L27" s="9"/>
      <c r="M27" s="9"/>
      <c r="N27" s="9"/>
      <c r="O27" s="9"/>
      <c r="P27" s="9"/>
      <c r="Q27" s="9"/>
      <c r="R27" s="9"/>
    </row>
    <row r="28" spans="2:18" ht="21.95" customHeight="1" x14ac:dyDescent="0.25">
      <c r="B28" s="9"/>
      <c r="C28" s="9"/>
      <c r="D28" s="9"/>
      <c r="E28" s="9"/>
      <c r="F28" s="9"/>
      <c r="G28" s="9"/>
      <c r="H28" s="9"/>
      <c r="I28" s="9"/>
      <c r="J28" s="9"/>
      <c r="K28" s="9"/>
      <c r="L28" s="9"/>
      <c r="M28" s="9"/>
      <c r="N28" s="9"/>
      <c r="O28" s="9"/>
      <c r="P28" s="9"/>
      <c r="Q28" s="9"/>
      <c r="R28" s="9"/>
    </row>
    <row r="29" spans="2:18" ht="21.95" customHeight="1" x14ac:dyDescent="0.25">
      <c r="B29" s="9"/>
      <c r="C29" s="9"/>
      <c r="D29" s="9"/>
      <c r="E29" s="9"/>
      <c r="F29" s="9"/>
      <c r="G29" s="9"/>
      <c r="H29" s="9"/>
      <c r="I29" s="9"/>
      <c r="J29" s="9"/>
      <c r="K29" s="9"/>
      <c r="L29" s="9"/>
      <c r="M29" s="9"/>
      <c r="N29" s="9"/>
      <c r="O29" s="9"/>
      <c r="P29" s="9"/>
      <c r="Q29" s="9"/>
      <c r="R29" s="9"/>
    </row>
    <row r="30" spans="2:18" ht="21.95" customHeight="1" x14ac:dyDescent="0.25">
      <c r="B30" s="9"/>
      <c r="C30" s="9"/>
      <c r="D30" s="9"/>
      <c r="E30" s="9"/>
      <c r="F30" s="9"/>
      <c r="G30" s="9"/>
      <c r="H30" s="9"/>
      <c r="I30" s="9"/>
      <c r="J30" s="9"/>
      <c r="K30" s="9"/>
      <c r="L30" s="9"/>
      <c r="M30" s="9"/>
      <c r="N30" s="9"/>
      <c r="O30" s="9"/>
      <c r="P30" s="9"/>
      <c r="Q30" s="9"/>
      <c r="R30" s="9"/>
    </row>
    <row r="31" spans="2:18" ht="21.95" customHeight="1" x14ac:dyDescent="0.25">
      <c r="B31" s="9"/>
      <c r="C31" s="9"/>
      <c r="D31" s="9"/>
      <c r="E31" s="9"/>
      <c r="F31" s="9"/>
      <c r="G31" s="9"/>
      <c r="H31" s="9"/>
      <c r="I31" s="9"/>
      <c r="J31" s="9"/>
      <c r="K31" s="9"/>
      <c r="L31" s="9"/>
      <c r="M31" s="9"/>
      <c r="N31" s="9"/>
      <c r="O31" s="9"/>
      <c r="P31" s="9"/>
      <c r="Q31" s="9"/>
      <c r="R31" s="9"/>
    </row>
    <row r="32" spans="2:18" ht="21.95" customHeight="1" x14ac:dyDescent="0.25">
      <c r="B32" s="9"/>
      <c r="C32" s="9"/>
      <c r="D32" s="9"/>
      <c r="E32" s="9"/>
      <c r="F32" s="9"/>
      <c r="G32" s="9"/>
      <c r="H32" s="9"/>
      <c r="I32" s="9"/>
      <c r="J32" s="9"/>
      <c r="K32" s="9"/>
      <c r="L32" s="9"/>
      <c r="M32" s="9"/>
      <c r="N32" s="9"/>
      <c r="O32" s="9"/>
      <c r="P32" s="9"/>
      <c r="Q32" s="9"/>
      <c r="R32" s="9"/>
    </row>
    <row r="33" spans="2:18" ht="21.95" customHeight="1" x14ac:dyDescent="0.25">
      <c r="B33" s="9"/>
      <c r="C33" s="9"/>
      <c r="D33" s="9"/>
      <c r="E33" s="9"/>
      <c r="F33" s="9"/>
      <c r="G33" s="9"/>
      <c r="H33" s="9"/>
      <c r="I33" s="9"/>
      <c r="J33" s="9"/>
      <c r="K33" s="9"/>
      <c r="L33" s="9"/>
      <c r="M33" s="9"/>
      <c r="N33" s="9"/>
      <c r="O33" s="9"/>
      <c r="P33" s="9"/>
      <c r="Q33" s="9"/>
      <c r="R33" s="9"/>
    </row>
    <row r="34" spans="2:18" ht="21.95" customHeight="1" x14ac:dyDescent="0.25">
      <c r="B34" s="9"/>
      <c r="C34" s="9"/>
      <c r="D34" s="9"/>
      <c r="E34" s="9"/>
      <c r="F34" s="9"/>
      <c r="G34" s="9"/>
      <c r="H34" s="9"/>
      <c r="I34" s="9"/>
      <c r="J34" s="9"/>
      <c r="K34" s="9"/>
      <c r="L34" s="9"/>
      <c r="M34" s="9"/>
      <c r="N34" s="9"/>
      <c r="O34" s="9"/>
      <c r="P34" s="9"/>
      <c r="Q34" s="9"/>
      <c r="R34" s="9"/>
    </row>
    <row r="35" spans="2:18" ht="21.95" customHeight="1" x14ac:dyDescent="0.25">
      <c r="B35" s="9"/>
      <c r="C35" s="9"/>
      <c r="D35" s="9"/>
      <c r="E35" s="9"/>
      <c r="F35" s="9"/>
      <c r="G35" s="9"/>
      <c r="H35" s="9"/>
      <c r="I35" s="9"/>
      <c r="J35" s="9"/>
      <c r="K35" s="9"/>
      <c r="L35" s="9"/>
      <c r="M35" s="9"/>
      <c r="N35" s="9"/>
      <c r="O35" s="9"/>
      <c r="P35" s="9"/>
      <c r="Q35" s="9"/>
      <c r="R35" s="9"/>
    </row>
    <row r="36" spans="2:18" ht="21.95" customHeight="1" x14ac:dyDescent="0.25">
      <c r="B36" s="9"/>
      <c r="C36" s="9"/>
      <c r="D36" s="9"/>
      <c r="E36" s="9"/>
      <c r="F36" s="9"/>
      <c r="G36" s="9"/>
      <c r="H36" s="9"/>
      <c r="I36" s="9"/>
      <c r="J36" s="9"/>
      <c r="K36" s="9"/>
      <c r="L36" s="9"/>
      <c r="M36" s="9"/>
      <c r="N36" s="9"/>
      <c r="O36" s="9"/>
      <c r="P36" s="9"/>
      <c r="Q36" s="9"/>
      <c r="R36" s="9"/>
    </row>
    <row r="37" spans="2:18" ht="21.95" customHeight="1" x14ac:dyDescent="0.25">
      <c r="B37" s="9"/>
      <c r="C37" s="9"/>
      <c r="D37" s="9"/>
      <c r="E37" s="9"/>
      <c r="F37" s="9"/>
      <c r="G37" s="9"/>
      <c r="H37" s="9"/>
      <c r="I37" s="9"/>
      <c r="J37" s="9"/>
      <c r="K37" s="9"/>
      <c r="L37" s="9"/>
      <c r="M37" s="9"/>
      <c r="N37" s="9"/>
      <c r="O37" s="9"/>
      <c r="P37" s="9"/>
      <c r="Q37" s="9"/>
      <c r="R37" s="9"/>
    </row>
    <row r="38" spans="2:18" ht="21.95" customHeight="1" x14ac:dyDescent="0.25">
      <c r="B38" s="9"/>
      <c r="C38" s="9"/>
      <c r="D38" s="9"/>
      <c r="E38" s="9"/>
      <c r="F38" s="9"/>
      <c r="G38" s="9"/>
      <c r="H38" s="9"/>
      <c r="I38" s="9"/>
      <c r="J38" s="9"/>
      <c r="K38" s="9"/>
      <c r="L38" s="9"/>
      <c r="M38" s="9"/>
      <c r="N38" s="9"/>
      <c r="O38" s="9"/>
      <c r="P38" s="9"/>
      <c r="Q38" s="9"/>
      <c r="R38" s="9"/>
    </row>
    <row r="39" spans="2:18" ht="21.95" customHeight="1" x14ac:dyDescent="0.25">
      <c r="B39" s="9"/>
      <c r="C39" s="9"/>
      <c r="D39" s="9"/>
      <c r="E39" s="9"/>
      <c r="F39" s="9"/>
      <c r="G39" s="9"/>
      <c r="H39" s="9"/>
      <c r="I39" s="9"/>
      <c r="J39" s="9"/>
      <c r="K39" s="9"/>
      <c r="L39" s="9"/>
      <c r="M39" s="9"/>
      <c r="N39" s="9"/>
      <c r="O39" s="9"/>
      <c r="P39" s="9"/>
      <c r="Q39" s="9"/>
      <c r="R39" s="9"/>
    </row>
    <row r="40" spans="2:18" ht="21.95" customHeight="1" x14ac:dyDescent="0.25">
      <c r="B40" s="9"/>
      <c r="C40" s="9"/>
      <c r="D40" s="9"/>
      <c r="E40" s="9"/>
      <c r="F40" s="9"/>
      <c r="G40" s="9"/>
      <c r="H40" s="9"/>
      <c r="I40" s="9"/>
      <c r="J40" s="9"/>
      <c r="K40" s="9"/>
      <c r="L40" s="9"/>
      <c r="M40" s="9"/>
      <c r="N40" s="9"/>
      <c r="O40" s="9"/>
      <c r="P40" s="9"/>
      <c r="Q40" s="9"/>
      <c r="R40" s="9"/>
    </row>
    <row r="41" spans="2:18" ht="21.95" customHeight="1" x14ac:dyDescent="0.25">
      <c r="B41" s="9"/>
      <c r="C41" s="9"/>
      <c r="D41" s="9"/>
      <c r="E41" s="9"/>
      <c r="F41" s="9"/>
      <c r="G41" s="9"/>
      <c r="H41" s="9"/>
      <c r="I41" s="9"/>
      <c r="J41" s="9"/>
      <c r="K41" s="9"/>
      <c r="L41" s="9"/>
      <c r="M41" s="9"/>
      <c r="N41" s="9"/>
      <c r="O41" s="9"/>
      <c r="P41" s="9"/>
      <c r="Q41" s="9"/>
      <c r="R41" s="9"/>
    </row>
    <row r="42" spans="2:18" ht="21.95" customHeight="1" x14ac:dyDescent="0.25">
      <c r="B42" s="9"/>
      <c r="C42" s="9"/>
      <c r="D42" s="9"/>
      <c r="E42" s="9"/>
      <c r="F42" s="9"/>
      <c r="G42" s="9"/>
      <c r="H42" s="9"/>
      <c r="I42" s="9"/>
      <c r="J42" s="9"/>
      <c r="K42" s="9"/>
      <c r="L42" s="9"/>
      <c r="M42" s="9"/>
      <c r="N42" s="9"/>
      <c r="O42" s="9"/>
      <c r="P42" s="9"/>
      <c r="Q42" s="9"/>
      <c r="R42" s="9"/>
    </row>
    <row r="43" spans="2:18" ht="21.95" customHeight="1" x14ac:dyDescent="0.25">
      <c r="B43" s="9"/>
      <c r="C43" s="9"/>
      <c r="D43" s="9"/>
      <c r="E43" s="9"/>
      <c r="F43" s="9"/>
      <c r="G43" s="9"/>
      <c r="H43" s="9"/>
      <c r="I43" s="9"/>
      <c r="J43" s="9"/>
      <c r="K43" s="9"/>
      <c r="L43" s="9"/>
      <c r="M43" s="9"/>
      <c r="N43" s="9"/>
      <c r="O43" s="9"/>
      <c r="P43" s="9"/>
      <c r="Q43" s="9"/>
      <c r="R43" s="9"/>
    </row>
    <row r="44" spans="2:18" ht="21.95" customHeight="1" x14ac:dyDescent="0.25">
      <c r="B44" s="9"/>
      <c r="C44" s="9"/>
      <c r="D44" s="9"/>
      <c r="E44" s="9"/>
      <c r="F44" s="9"/>
      <c r="G44" s="9"/>
      <c r="H44" s="9"/>
      <c r="I44" s="9"/>
      <c r="J44" s="9"/>
      <c r="K44" s="9"/>
      <c r="L44" s="9"/>
      <c r="M44" s="9"/>
      <c r="N44" s="9"/>
      <c r="O44" s="9"/>
      <c r="P44" s="9"/>
      <c r="Q44" s="9"/>
      <c r="R44" s="9"/>
    </row>
    <row r="45" spans="2:18" ht="21.95" customHeight="1" x14ac:dyDescent="0.25">
      <c r="B45" s="9"/>
      <c r="C45" s="9"/>
      <c r="D45" s="9"/>
      <c r="E45" s="9"/>
      <c r="F45" s="9"/>
      <c r="G45" s="9"/>
      <c r="H45" s="9"/>
      <c r="I45" s="9"/>
      <c r="J45" s="9"/>
      <c r="K45" s="9"/>
      <c r="L45" s="9"/>
      <c r="M45" s="9"/>
      <c r="N45" s="9"/>
      <c r="O45" s="9"/>
      <c r="P45" s="9"/>
      <c r="Q45" s="9"/>
      <c r="R45" s="9"/>
    </row>
    <row r="46" spans="2:18" ht="21.95" customHeight="1" x14ac:dyDescent="0.25">
      <c r="B46" s="9"/>
      <c r="C46" s="9"/>
      <c r="D46" s="9"/>
      <c r="E46" s="9"/>
      <c r="F46" s="9"/>
      <c r="G46" s="9"/>
      <c r="H46" s="9"/>
      <c r="I46" s="9"/>
      <c r="J46" s="9"/>
      <c r="K46" s="9"/>
      <c r="L46" s="9"/>
      <c r="M46" s="9"/>
      <c r="N46" s="9"/>
      <c r="O46" s="9"/>
      <c r="P46" s="9"/>
      <c r="Q46" s="9"/>
      <c r="R46" s="9"/>
    </row>
    <row r="47" spans="2:18" ht="21.95" customHeight="1" x14ac:dyDescent="0.25">
      <c r="B47" s="12" t="s">
        <v>222</v>
      </c>
      <c r="C47" s="12"/>
      <c r="D47" s="12"/>
      <c r="E47" s="12"/>
      <c r="F47" s="12"/>
      <c r="G47" s="12"/>
      <c r="H47" s="12"/>
      <c r="I47" s="12"/>
      <c r="J47" s="12"/>
      <c r="K47" s="12"/>
      <c r="L47" s="12"/>
      <c r="M47" s="12"/>
      <c r="N47" s="12"/>
      <c r="O47" s="12"/>
      <c r="P47" s="12"/>
      <c r="Q47" s="12"/>
      <c r="R47" s="12"/>
    </row>
    <row r="48" spans="2:18" ht="21.95" customHeight="1" x14ac:dyDescent="0.25">
      <c r="B48" s="9"/>
      <c r="C48" s="9"/>
      <c r="D48" s="9"/>
      <c r="E48" s="9"/>
      <c r="F48" s="9"/>
      <c r="G48" s="9"/>
      <c r="H48" s="9"/>
      <c r="I48" s="9"/>
      <c r="J48" s="9"/>
      <c r="K48" s="9"/>
      <c r="L48" s="9"/>
      <c r="M48" s="9"/>
      <c r="N48" s="9"/>
      <c r="O48" s="9"/>
      <c r="P48" s="9"/>
      <c r="Q48" s="9"/>
      <c r="R48" s="9"/>
    </row>
    <row r="49" spans="2:18" ht="21.95" customHeight="1" x14ac:dyDescent="0.25">
      <c r="B49" s="9"/>
      <c r="C49" s="9"/>
      <c r="D49" s="9"/>
      <c r="E49" s="9"/>
      <c r="F49" s="9"/>
      <c r="G49" s="9"/>
      <c r="H49" s="9"/>
      <c r="I49" s="9"/>
      <c r="J49" s="9"/>
      <c r="K49" s="9"/>
      <c r="L49" s="9"/>
      <c r="M49" s="9"/>
      <c r="N49" s="9"/>
      <c r="O49" s="9"/>
      <c r="P49" s="9"/>
      <c r="Q49" s="9"/>
      <c r="R49" s="9"/>
    </row>
  </sheetData>
  <mergeCells count="11">
    <mergeCell ref="O6:Q6"/>
    <mergeCell ref="O7:Q9"/>
    <mergeCell ref="B47:R47"/>
    <mergeCell ref="B2:R3"/>
    <mergeCell ref="B4:R4"/>
    <mergeCell ref="B6:D6"/>
    <mergeCell ref="F6:H6"/>
    <mergeCell ref="B7:D9"/>
    <mergeCell ref="F7:H9"/>
    <mergeCell ref="K6:M6"/>
    <mergeCell ref="K7:M9"/>
  </mergeCells>
  <pageMargins left="0.7" right="0.7" top="0.75" bottom="0.75" header="0.3" footer="0.3"/>
  <pageSetup paperSize="8" scale="70" orientation="landscape"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DATA_KUNJUNGAN</vt:lpstr>
      <vt:lpstr>PIVOT_ANALISIS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Resty</dc:creator>
  <cp:lastModifiedBy>Resty</cp:lastModifiedBy>
  <cp:lastPrinted>2026-10-20T03:05:31Z</cp:lastPrinted>
  <dcterms:created xsi:type="dcterms:W3CDTF">2026-10-19T14:55:56Z</dcterms:created>
  <dcterms:modified xsi:type="dcterms:W3CDTF">2026-10-20T03:06:23Z</dcterms:modified>
</cp:coreProperties>
</file>